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anm\Desktop\"/>
    </mc:Choice>
  </mc:AlternateContent>
  <xr:revisionPtr revIDLastSave="0" documentId="13_ncr:1_{ACF55AC9-A3D1-41E0-B640-55BC141D3C82}" xr6:coauthVersionLast="47" xr6:coauthVersionMax="47" xr10:uidLastSave="{00000000-0000-0000-0000-000000000000}"/>
  <bookViews>
    <workbookView xWindow="-108" yWindow="-108" windowWidth="23256" windowHeight="12456" tabRatio="500" firstSheet="6" activeTab="6" xr2:uid="{00000000-000D-0000-FFFF-FFFF00000000}"/>
  </bookViews>
  <sheets>
    <sheet name="Panel" sheetId="1" r:id="rId1"/>
    <sheet name="Parámetros" sheetId="2" r:id="rId2"/>
    <sheet name="Bitácora diaria" sheetId="4" r:id="rId3"/>
    <sheet name="Lotes" sheetId="3" r:id="rId4"/>
    <sheet name="Calendario" sheetId="5" r:id="rId5"/>
    <sheet name="Curva de avance" sheetId="6" r:id="rId6"/>
    <sheet name="Control" sheetId="7" r:id="rId7"/>
  </sheets>
  <definedNames>
    <definedName name="_xlnm._FilterDatabase" localSheetId="2" hidden="1">'Bitácora diaria'!$A$1:$J$127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" i="7" l="1"/>
  <c r="F2" i="7" s="1"/>
  <c r="H2" i="7"/>
  <c r="B2" i="7"/>
  <c r="I41" i="4"/>
  <c r="I21" i="4"/>
  <c r="E2" i="7"/>
  <c r="D54" i="6"/>
  <c r="C54" i="6"/>
  <c r="B54" i="6"/>
  <c r="D53" i="6"/>
  <c r="B53" i="6"/>
  <c r="D52" i="6"/>
  <c r="B52" i="6"/>
  <c r="D51" i="6"/>
  <c r="B51" i="6"/>
  <c r="D50" i="6"/>
  <c r="C50" i="6"/>
  <c r="B50" i="6"/>
  <c r="D49" i="6"/>
  <c r="B49" i="6"/>
  <c r="D48" i="6"/>
  <c r="B48" i="6"/>
  <c r="D47" i="6"/>
  <c r="B47" i="6"/>
  <c r="D46" i="6"/>
  <c r="C46" i="6"/>
  <c r="B46" i="6"/>
  <c r="D45" i="6"/>
  <c r="B45" i="6"/>
  <c r="D44" i="6"/>
  <c r="B44" i="6"/>
  <c r="D43" i="6"/>
  <c r="B43" i="6"/>
  <c r="D42" i="6"/>
  <c r="C42" i="6"/>
  <c r="B42" i="6"/>
  <c r="D41" i="6"/>
  <c r="B41" i="6"/>
  <c r="D40" i="6"/>
  <c r="B40" i="6"/>
  <c r="D39" i="6"/>
  <c r="B39" i="6"/>
  <c r="D38" i="6"/>
  <c r="C38" i="6"/>
  <c r="B38" i="6"/>
  <c r="D37" i="6"/>
  <c r="B37" i="6"/>
  <c r="D36" i="6"/>
  <c r="B36" i="6"/>
  <c r="D35" i="6"/>
  <c r="B35" i="6"/>
  <c r="D34" i="6"/>
  <c r="C34" i="6"/>
  <c r="B34" i="6"/>
  <c r="D33" i="6"/>
  <c r="B33" i="6"/>
  <c r="D32" i="6"/>
  <c r="B32" i="6"/>
  <c r="D31" i="6"/>
  <c r="B31" i="6"/>
  <c r="D30" i="6"/>
  <c r="C30" i="6"/>
  <c r="B30" i="6"/>
  <c r="D29" i="6"/>
  <c r="B29" i="6"/>
  <c r="D28" i="6"/>
  <c r="B28" i="6"/>
  <c r="D27" i="6"/>
  <c r="B27" i="6"/>
  <c r="D26" i="6"/>
  <c r="C26" i="6"/>
  <c r="B26" i="6"/>
  <c r="D25" i="6"/>
  <c r="B25" i="6"/>
  <c r="D24" i="6"/>
  <c r="B24" i="6"/>
  <c r="D23" i="6"/>
  <c r="B23" i="6"/>
  <c r="D22" i="6"/>
  <c r="C22" i="6"/>
  <c r="B22" i="6"/>
  <c r="D21" i="6"/>
  <c r="B21" i="6"/>
  <c r="D20" i="6"/>
  <c r="B20" i="6"/>
  <c r="D19" i="6"/>
  <c r="B19" i="6"/>
  <c r="D18" i="6"/>
  <c r="C18" i="6"/>
  <c r="B18" i="6"/>
  <c r="D17" i="6"/>
  <c r="B17" i="6"/>
  <c r="D16" i="6"/>
  <c r="B16" i="6"/>
  <c r="D15" i="6"/>
  <c r="B15" i="6"/>
  <c r="D14" i="6"/>
  <c r="C14" i="6"/>
  <c r="B14" i="6"/>
  <c r="D13" i="6"/>
  <c r="B13" i="6"/>
  <c r="D12" i="6"/>
  <c r="B12" i="6"/>
  <c r="D11" i="6"/>
  <c r="B11" i="6"/>
  <c r="D10" i="6"/>
  <c r="C10" i="6"/>
  <c r="B10" i="6"/>
  <c r="D9" i="6"/>
  <c r="B9" i="6"/>
  <c r="D8" i="6"/>
  <c r="B8" i="6"/>
  <c r="D7" i="6"/>
  <c r="B7" i="6"/>
  <c r="D6" i="6"/>
  <c r="C6" i="6"/>
  <c r="B6" i="6"/>
  <c r="D5" i="6"/>
  <c r="B5" i="6"/>
  <c r="D4" i="6"/>
  <c r="B4" i="6"/>
  <c r="C53" i="6" s="1"/>
  <c r="G55" i="5"/>
  <c r="F55" i="5"/>
  <c r="E55" i="5"/>
  <c r="D55" i="5"/>
  <c r="I55" i="5" s="1"/>
  <c r="G54" i="5"/>
  <c r="F54" i="5"/>
  <c r="E54" i="5"/>
  <c r="D54" i="5"/>
  <c r="I54" i="5" s="1"/>
  <c r="G53" i="5"/>
  <c r="F53" i="5"/>
  <c r="E53" i="5"/>
  <c r="I53" i="5" s="1"/>
  <c r="D53" i="5"/>
  <c r="G52" i="5"/>
  <c r="F52" i="5"/>
  <c r="E52" i="5"/>
  <c r="D52" i="5"/>
  <c r="I52" i="5" s="1"/>
  <c r="G51" i="5"/>
  <c r="F51" i="5"/>
  <c r="E51" i="5"/>
  <c r="D51" i="5"/>
  <c r="I51" i="5" s="1"/>
  <c r="I50" i="5"/>
  <c r="G50" i="5"/>
  <c r="F50" i="5"/>
  <c r="E50" i="5"/>
  <c r="D50" i="5"/>
  <c r="G49" i="5"/>
  <c r="F49" i="5"/>
  <c r="E49" i="5"/>
  <c r="D49" i="5"/>
  <c r="I49" i="5" s="1"/>
  <c r="G48" i="5"/>
  <c r="F48" i="5"/>
  <c r="I48" i="5" s="1"/>
  <c r="E48" i="5"/>
  <c r="D48" i="5"/>
  <c r="G47" i="5"/>
  <c r="F47" i="5"/>
  <c r="E47" i="5"/>
  <c r="I47" i="5" s="1"/>
  <c r="D47" i="5"/>
  <c r="G46" i="5"/>
  <c r="F46" i="5"/>
  <c r="E46" i="5"/>
  <c r="D46" i="5"/>
  <c r="I46" i="5" s="1"/>
  <c r="G45" i="5"/>
  <c r="F45" i="5"/>
  <c r="E45" i="5"/>
  <c r="D45" i="5"/>
  <c r="I45" i="5" s="1"/>
  <c r="I44" i="5"/>
  <c r="G44" i="5"/>
  <c r="F44" i="5"/>
  <c r="E44" i="5"/>
  <c r="D44" i="5"/>
  <c r="G43" i="5"/>
  <c r="F43" i="5"/>
  <c r="E43" i="5"/>
  <c r="D43" i="5"/>
  <c r="I43" i="5" s="1"/>
  <c r="G42" i="5"/>
  <c r="F42" i="5"/>
  <c r="E42" i="5"/>
  <c r="D42" i="5"/>
  <c r="I42" i="5" s="1"/>
  <c r="G41" i="5"/>
  <c r="F41" i="5"/>
  <c r="E41" i="5"/>
  <c r="I41" i="5" s="1"/>
  <c r="D41" i="5"/>
  <c r="G40" i="5"/>
  <c r="F40" i="5"/>
  <c r="E40" i="5"/>
  <c r="D40" i="5"/>
  <c r="I40" i="5" s="1"/>
  <c r="G39" i="5"/>
  <c r="F39" i="5"/>
  <c r="E39" i="5"/>
  <c r="D39" i="5"/>
  <c r="I39" i="5" s="1"/>
  <c r="I38" i="5"/>
  <c r="G38" i="5"/>
  <c r="F38" i="5"/>
  <c r="E38" i="5"/>
  <c r="D38" i="5"/>
  <c r="G37" i="5"/>
  <c r="F37" i="5"/>
  <c r="E37" i="5"/>
  <c r="D37" i="5"/>
  <c r="I37" i="5" s="1"/>
  <c r="G36" i="5"/>
  <c r="F36" i="5"/>
  <c r="I36" i="5" s="1"/>
  <c r="E36" i="5"/>
  <c r="D36" i="5"/>
  <c r="G35" i="5"/>
  <c r="F35" i="5"/>
  <c r="E35" i="5"/>
  <c r="I35" i="5" s="1"/>
  <c r="D35" i="5"/>
  <c r="G34" i="5"/>
  <c r="F34" i="5"/>
  <c r="E34" i="5"/>
  <c r="D34" i="5"/>
  <c r="I34" i="5" s="1"/>
  <c r="G33" i="5"/>
  <c r="F33" i="5"/>
  <c r="E33" i="5"/>
  <c r="D33" i="5"/>
  <c r="I33" i="5" s="1"/>
  <c r="I32" i="5"/>
  <c r="G32" i="5"/>
  <c r="F32" i="5"/>
  <c r="E32" i="5"/>
  <c r="D32" i="5"/>
  <c r="G31" i="5"/>
  <c r="F31" i="5"/>
  <c r="E31" i="5"/>
  <c r="D31" i="5"/>
  <c r="I31" i="5" s="1"/>
  <c r="G30" i="5"/>
  <c r="F30" i="5"/>
  <c r="E30" i="5"/>
  <c r="D30" i="5"/>
  <c r="I30" i="5" s="1"/>
  <c r="G29" i="5"/>
  <c r="F29" i="5"/>
  <c r="E29" i="5"/>
  <c r="I29" i="5" s="1"/>
  <c r="D29" i="5"/>
  <c r="G28" i="5"/>
  <c r="F28" i="5"/>
  <c r="E28" i="5"/>
  <c r="D28" i="5"/>
  <c r="I28" i="5" s="1"/>
  <c r="G27" i="5"/>
  <c r="F27" i="5"/>
  <c r="E27" i="5"/>
  <c r="D27" i="5"/>
  <c r="I27" i="5" s="1"/>
  <c r="I26" i="5"/>
  <c r="G26" i="5"/>
  <c r="F26" i="5"/>
  <c r="E26" i="5"/>
  <c r="D26" i="5"/>
  <c r="G25" i="5"/>
  <c r="F25" i="5"/>
  <c r="E25" i="5"/>
  <c r="D25" i="5"/>
  <c r="I25" i="5" s="1"/>
  <c r="G24" i="5"/>
  <c r="F24" i="5"/>
  <c r="I24" i="5" s="1"/>
  <c r="E24" i="5"/>
  <c r="D24" i="5"/>
  <c r="G23" i="5"/>
  <c r="F23" i="5"/>
  <c r="E23" i="5"/>
  <c r="I23" i="5" s="1"/>
  <c r="D23" i="5"/>
  <c r="G22" i="5"/>
  <c r="F22" i="5"/>
  <c r="E22" i="5"/>
  <c r="D22" i="5"/>
  <c r="I22" i="5" s="1"/>
  <c r="G21" i="5"/>
  <c r="F21" i="5"/>
  <c r="E21" i="5"/>
  <c r="D21" i="5"/>
  <c r="I21" i="5" s="1"/>
  <c r="I20" i="5"/>
  <c r="G20" i="5"/>
  <c r="F20" i="5"/>
  <c r="E20" i="5"/>
  <c r="D20" i="5"/>
  <c r="G19" i="5"/>
  <c r="F19" i="5"/>
  <c r="E19" i="5"/>
  <c r="D19" i="5"/>
  <c r="I19" i="5" s="1"/>
  <c r="G18" i="5"/>
  <c r="F18" i="5"/>
  <c r="E18" i="5"/>
  <c r="D18" i="5"/>
  <c r="I18" i="5" s="1"/>
  <c r="G17" i="5"/>
  <c r="F17" i="5"/>
  <c r="E17" i="5"/>
  <c r="I17" i="5" s="1"/>
  <c r="D17" i="5"/>
  <c r="G16" i="5"/>
  <c r="F16" i="5"/>
  <c r="E16" i="5"/>
  <c r="D16" i="5"/>
  <c r="I16" i="5" s="1"/>
  <c r="G15" i="5"/>
  <c r="F15" i="5"/>
  <c r="E15" i="5"/>
  <c r="D15" i="5"/>
  <c r="I15" i="5" s="1"/>
  <c r="I14" i="5"/>
  <c r="G14" i="5"/>
  <c r="F14" i="5"/>
  <c r="E14" i="5"/>
  <c r="D14" i="5"/>
  <c r="G13" i="5"/>
  <c r="F13" i="5"/>
  <c r="E13" i="5"/>
  <c r="D13" i="5"/>
  <c r="I13" i="5" s="1"/>
  <c r="G12" i="5"/>
  <c r="F12" i="5"/>
  <c r="I12" i="5" s="1"/>
  <c r="E12" i="5"/>
  <c r="D12" i="5"/>
  <c r="G11" i="5"/>
  <c r="F11" i="5"/>
  <c r="E11" i="5"/>
  <c r="I11" i="5" s="1"/>
  <c r="D11" i="5"/>
  <c r="G10" i="5"/>
  <c r="F10" i="5"/>
  <c r="E10" i="5"/>
  <c r="D10" i="5"/>
  <c r="I10" i="5" s="1"/>
  <c r="G9" i="5"/>
  <c r="F9" i="5"/>
  <c r="E9" i="5"/>
  <c r="D9" i="5"/>
  <c r="I9" i="5" s="1"/>
  <c r="I8" i="5"/>
  <c r="G8" i="5"/>
  <c r="F8" i="5"/>
  <c r="E8" i="5"/>
  <c r="D8" i="5"/>
  <c r="G7" i="5"/>
  <c r="F7" i="5"/>
  <c r="E7" i="5"/>
  <c r="D7" i="5"/>
  <c r="I7" i="5" s="1"/>
  <c r="G6" i="5"/>
  <c r="F6" i="5"/>
  <c r="E6" i="5"/>
  <c r="D6" i="5"/>
  <c r="I6" i="5" s="1"/>
  <c r="G5" i="5"/>
  <c r="F5" i="5"/>
  <c r="E5" i="5"/>
  <c r="I5" i="5" s="1"/>
  <c r="D5" i="5"/>
  <c r="G4" i="5"/>
  <c r="F4" i="5"/>
  <c r="E4" i="5"/>
  <c r="D4" i="5"/>
  <c r="I4" i="5" s="1"/>
  <c r="G3" i="5"/>
  <c r="F3" i="5"/>
  <c r="E3" i="5"/>
  <c r="D3" i="5"/>
  <c r="D57" i="5" s="1"/>
  <c r="I2" i="5"/>
  <c r="G2" i="5"/>
  <c r="G57" i="5" s="1"/>
  <c r="F2" i="5"/>
  <c r="F57" i="5" s="1"/>
  <c r="E2" i="5"/>
  <c r="E57" i="5" s="1"/>
  <c r="D2" i="5"/>
  <c r="H129" i="4"/>
  <c r="C16" i="1" s="1"/>
  <c r="G129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G12" i="3"/>
  <c r="D32" i="1"/>
  <c r="E32" i="1" s="1"/>
  <c r="C32" i="1"/>
  <c r="E31" i="1"/>
  <c r="D31" i="1"/>
  <c r="C31" i="1"/>
  <c r="D30" i="1"/>
  <c r="C30" i="1"/>
  <c r="E30" i="1" s="1"/>
  <c r="D29" i="1"/>
  <c r="E29" i="1" s="1"/>
  <c r="C29" i="1"/>
  <c r="D24" i="1"/>
  <c r="F23" i="1"/>
  <c r="E23" i="1"/>
  <c r="G23" i="1" s="1"/>
  <c r="F22" i="1"/>
  <c r="G22" i="1" s="1"/>
  <c r="E22" i="1"/>
  <c r="F21" i="1"/>
  <c r="E21" i="1"/>
  <c r="G21" i="1" s="1"/>
  <c r="F20" i="1"/>
  <c r="E20" i="1"/>
  <c r="E24" i="1" s="1"/>
  <c r="C15" i="1"/>
  <c r="C13" i="1"/>
  <c r="C12" i="1"/>
  <c r="C11" i="1"/>
  <c r="C10" i="1"/>
  <c r="C9" i="1"/>
  <c r="C8" i="1"/>
  <c r="G20" i="1" l="1"/>
  <c r="I3" i="5"/>
  <c r="C14" i="1" s="1"/>
  <c r="C7" i="6"/>
  <c r="C11" i="6"/>
  <c r="C15" i="6"/>
  <c r="C19" i="6"/>
  <c r="C23" i="6"/>
  <c r="C27" i="6"/>
  <c r="C31" i="6"/>
  <c r="C35" i="6"/>
  <c r="C39" i="6"/>
  <c r="C43" i="6"/>
  <c r="C47" i="6"/>
  <c r="C51" i="6"/>
  <c r="I129" i="4"/>
  <c r="C4" i="6"/>
  <c r="C8" i="6"/>
  <c r="C12" i="6"/>
  <c r="C16" i="6"/>
  <c r="C20" i="6"/>
  <c r="C24" i="6"/>
  <c r="C28" i="6"/>
  <c r="C32" i="6"/>
  <c r="C36" i="6"/>
  <c r="C40" i="6"/>
  <c r="C44" i="6"/>
  <c r="C48" i="6"/>
  <c r="C52" i="6"/>
  <c r="F24" i="1"/>
  <c r="C5" i="6"/>
  <c r="C9" i="6"/>
  <c r="C13" i="6"/>
  <c r="C17" i="6"/>
  <c r="C21" i="6"/>
  <c r="C25" i="6"/>
  <c r="C29" i="6"/>
  <c r="C33" i="6"/>
  <c r="C37" i="6"/>
  <c r="C41" i="6"/>
  <c r="C45" i="6"/>
  <c r="C49" i="6"/>
  <c r="H22" i="1" l="1"/>
  <c r="G24" i="1"/>
  <c r="H21" i="1"/>
  <c r="H23" i="1"/>
  <c r="H20" i="1"/>
  <c r="I5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300-000001000000}">
      <text>
        <r>
          <rPr>
            <sz val="10"/>
            <rFont val="Arial"/>
            <family val="2"/>
          </rPr>
          <t>Única columna de captura manual. Registre los PAD realmente entregados en la fecha y fase de la fila.</t>
        </r>
      </text>
    </comment>
  </commentList>
</comments>
</file>

<file path=xl/sharedStrings.xml><?xml version="1.0" encoding="utf-8"?>
<sst xmlns="http://schemas.openxmlformats.org/spreadsheetml/2006/main" count="1149" uniqueCount="272">
  <si>
    <t>UNIVERSIDAD DE CUNDINAMARCA · CADI · MEDIT</t>
  </si>
  <si>
    <t>Cronograma de producción de 200 PAD</t>
  </si>
  <si>
    <t>16 de septiembre a 30 de noviembre de 2026 · Planes de Aprendizaje Digital</t>
  </si>
  <si>
    <t>INDICADORES DEL PERIODO</t>
  </si>
  <si>
    <t>Indicador</t>
  </si>
  <si>
    <t>Valor</t>
  </si>
  <si>
    <t>Unidad</t>
  </si>
  <si>
    <t>Meta total del periodo</t>
  </si>
  <si>
    <t>PAD</t>
  </si>
  <si>
    <t>PAD por ingeniero</t>
  </si>
  <si>
    <t>Días L–V del periodo</t>
  </si>
  <si>
    <t>días</t>
  </si>
  <si>
    <t>Festivos de ley excluidos</t>
  </si>
  <si>
    <t>Días hábiles efectivos</t>
  </si>
  <si>
    <t>Carga media programada</t>
  </si>
  <si>
    <t>PAD/día</t>
  </si>
  <si>
    <t>Pico de carga diaria</t>
  </si>
  <si>
    <t>PAD virtualizados (real)</t>
  </si>
  <si>
    <t>Avance sobre la meta</t>
  </si>
  <si>
    <t>%</t>
  </si>
  <si>
    <t>META POR QUINCENA E INGENIERO</t>
  </si>
  <si>
    <t>Quincena</t>
  </si>
  <si>
    <t>Periodo</t>
  </si>
  <si>
    <t>Días hábiles</t>
  </si>
  <si>
    <t>Juan Manuel</t>
  </si>
  <si>
    <t>Juan Pablo</t>
  </si>
  <si>
    <t>Total quincena</t>
  </si>
  <si>
    <t>Acumulado</t>
  </si>
  <si>
    <t>Q1</t>
  </si>
  <si>
    <t>16 Sep – 15 Oct</t>
  </si>
  <si>
    <t>Q2</t>
  </si>
  <si>
    <t>16 – 30 Oct</t>
  </si>
  <si>
    <t>Q3</t>
  </si>
  <si>
    <t>1 – 15 Nov</t>
  </si>
  <si>
    <t>Q4</t>
  </si>
  <si>
    <t>16 – 30 Nov</t>
  </si>
  <si>
    <t>TOTAL</t>
  </si>
  <si>
    <t>PAD-DÍA PROGRAMADOS POR FASE</t>
  </si>
  <si>
    <t>Fase MCA</t>
  </si>
  <si>
    <t>Total</t>
  </si>
  <si>
    <t>Generación</t>
  </si>
  <si>
    <t>Revisión</t>
  </si>
  <si>
    <t>Control de calidad</t>
  </si>
  <si>
    <t>Virtualización</t>
  </si>
  <si>
    <t>Leyenda: las celdas con fondo amarillo de la hoja «Bitácora diaria» (columna Real) son las únicas que se diligencian a mano. Todo lo demás se calcula.</t>
  </si>
  <si>
    <t>Parámetros y supuestos operativos</t>
  </si>
  <si>
    <t>Parámetro</t>
  </si>
  <si>
    <t>Fuente / nota</t>
  </si>
  <si>
    <t>Fecha de inicio</t>
  </si>
  <si>
    <t>Acta de planeación CADI</t>
  </si>
  <si>
    <t>Fecha de cierre</t>
  </si>
  <si>
    <t>Meta institucional</t>
  </si>
  <si>
    <t>Meta total de PAD</t>
  </si>
  <si>
    <t>Definida en tablero de planeación</t>
  </si>
  <si>
    <t>Ingenieros asignados</t>
  </si>
  <si>
    <t>Juan Manuel (mañana) y Juan Pablo (tarde)</t>
  </si>
  <si>
    <t>Jornada</t>
  </si>
  <si>
    <t>Lunes a viernes</t>
  </si>
  <si>
    <t>Mañana y tarde por ingeniero</t>
  </si>
  <si>
    <t>Conteo calendario</t>
  </si>
  <si>
    <t>54 días L–V menos 3 festivos de ley</t>
  </si>
  <si>
    <t>Fases del ciclo PAD</t>
  </si>
  <si>
    <t>Generación · Revisión · Control de calidad · Virtualización</t>
  </si>
  <si>
    <t>Traslape entre fases</t>
  </si>
  <si>
    <t>días — la fase siguiente inicia el último día de la anterior</t>
  </si>
  <si>
    <t>Festivos excluidos (Ley 51 de 1983)</t>
  </si>
  <si>
    <t>Fecha</t>
  </si>
  <si>
    <t>Día</t>
  </si>
  <si>
    <t>Celebración</t>
  </si>
  <si>
    <t>Lunes</t>
  </si>
  <si>
    <t>Día de la Raza</t>
  </si>
  <si>
    <t>Todos los Santos</t>
  </si>
  <si>
    <t>Independencia de Cartagena</t>
  </si>
  <si>
    <t>Reglas de cálculo</t>
  </si>
  <si>
    <t>· Cada ingeniero entrega 25 PAD por quincena: 100 PAD por ingeniero, 200 en total al 30 de noviembre.</t>
  </si>
  <si>
    <t>· Cada lote de 25 PAD recorre las cuatro fases dentro de su quincena, con un día de traslape entre fase y fase.</t>
  </si>
  <si>
    <t>· Los 25 PAD de una fase se reparten de forma pareja entre los días hábiles de su ventana; el residuo se asigna a los primeros días, de modo que la suma por fase siempre cierra en 25.</t>
  </si>
  <si>
    <t>· Supuesto operativo: Q1 abarca del 16 de septiembre al 15 de octubre (21 días hábiles) por ser el bloque de arranque. Q2, Q3 y Q4 son quincenas calendario de 9 a 11 días hábiles, por lo que la carga diaria sube en el tramo final.</t>
  </si>
  <si>
    <t>· La columna Real de la bitácora se diligencia manualmente; el resto del libro se recalcula solo.</t>
  </si>
  <si>
    <t>Semana</t>
  </si>
  <si>
    <t>Ingeniero</t>
  </si>
  <si>
    <t>Fase</t>
  </si>
  <si>
    <t>Plan</t>
  </si>
  <si>
    <t>Real</t>
  </si>
  <si>
    <t>Δ</t>
  </si>
  <si>
    <t>Observación</t>
  </si>
  <si>
    <t>Miércoles</t>
  </si>
  <si>
    <t>Ejemplo de diligenciamiento: escriba en «Real» los PAD efectivamente entregados ese día.</t>
  </si>
  <si>
    <t>Jueves</t>
  </si>
  <si>
    <t>Viernes</t>
  </si>
  <si>
    <t>Martes</t>
  </si>
  <si>
    <t>Lotes por quincena e ingeniero</t>
  </si>
  <si>
    <t>Rango de PAD</t>
  </si>
  <si>
    <t>Meta</t>
  </si>
  <si>
    <t>Inicio</t>
  </si>
  <si>
    <t>Cierre</t>
  </si>
  <si>
    <t>Jornada mañana</t>
  </si>
  <si>
    <t>PAD-001 a PAD-025</t>
  </si>
  <si>
    <t>Jornada tarde</t>
  </si>
  <si>
    <t>PAD-101 a PAD-125</t>
  </si>
  <si>
    <t>PAD-026 a PAD-050</t>
  </si>
  <si>
    <t>PAD-126 a PAD-150</t>
  </si>
  <si>
    <t>PAD-051 a PAD-075</t>
  </si>
  <si>
    <t>PAD-151 a PAD-175</t>
  </si>
  <si>
    <t>PAD-076 a PAD-100</t>
  </si>
  <si>
    <t>PAD-176 a PAD-200</t>
  </si>
  <si>
    <t>Hábil</t>
  </si>
  <si>
    <t>Gen.</t>
  </si>
  <si>
    <t>Rev.</t>
  </si>
  <si>
    <t>C. calidad</t>
  </si>
  <si>
    <t>Virtual.</t>
  </si>
  <si>
    <t>Total del día</t>
  </si>
  <si>
    <t>Total día</t>
  </si>
  <si>
    <t>Festivo</t>
  </si>
  <si>
    <t>Curva de avance — PAD virtualizados acumulados</t>
  </si>
  <si>
    <t>Plan del día</t>
  </si>
  <si>
    <t>Plan acumulado</t>
  </si>
  <si>
    <t>Real acumulado</t>
  </si>
  <si>
    <t>Fecha De Carga</t>
  </si>
  <si>
    <t>Revisado Por Experto</t>
  </si>
  <si>
    <t>Cambios A Realizar</t>
  </si>
  <si>
    <t>Virtualizacion</t>
  </si>
  <si>
    <t>Total Pads Generados</t>
  </si>
  <si>
    <t xml:space="preserve">FACULTAD CIENCIAS CONTABLES Y ECONOMICAS		</t>
  </si>
  <si>
    <t>ESPECIALIZACIÓN EN GERENCIA PARA LA TRANFORMACIÓN DIGITAL</t>
  </si>
  <si>
    <t>Pensamiento Estratégico</t>
  </si>
  <si>
    <t>Si</t>
  </si>
  <si>
    <t>Cambios</t>
  </si>
  <si>
    <t>Gestión del cambio y cultura digital</t>
  </si>
  <si>
    <t>Aprobado</t>
  </si>
  <si>
    <t>Gestión de tecnologías de información y comunicación TIC</t>
  </si>
  <si>
    <t>Diseño de productos servicios y modelos de negocio</t>
  </si>
  <si>
    <t>Plan de Marketing Digital</t>
  </si>
  <si>
    <t>Agregar Bibliografias</t>
  </si>
  <si>
    <t>Analítica de negocios</t>
  </si>
  <si>
    <t>Plan para la transformación digital</t>
  </si>
  <si>
    <t>ESPECIALIZACIÓN EN GESTIÓN PÚBLICA</t>
  </si>
  <si>
    <t>Economía de lo Público</t>
  </si>
  <si>
    <t>Modelo Integral de Planeación y Gestión (MIPG)</t>
  </si>
  <si>
    <t>Estructura del Estado Colombiano y Gobernanza de las Políticas Públicas</t>
  </si>
  <si>
    <t>Presupuesto y Finanzas Públicas</t>
  </si>
  <si>
    <t>Análisis y gestión de las organizaciones públicas</t>
  </si>
  <si>
    <t>Contratación Estatal</t>
  </si>
  <si>
    <t>SI</t>
  </si>
  <si>
    <t>Desarrollo y Gestión Territorial</t>
  </si>
  <si>
    <t>ESPECIALIZACIÓN MARKETING DIGITAL</t>
  </si>
  <si>
    <t>Redes sociales en el marketing digital</t>
  </si>
  <si>
    <t>Psicología del consumidor digital</t>
  </si>
  <si>
    <t>Investigación de mercados digital</t>
  </si>
  <si>
    <t>Marketing de contenidos</t>
  </si>
  <si>
    <t>Comercio y venta de productos y servicios online</t>
  </si>
  <si>
    <t>Analítica digital</t>
  </si>
  <si>
    <t>Plan de marketing estratégico digital</t>
  </si>
  <si>
    <t>ESPECIALIZACIÓN EN GERENCIA FINANCIERA Y CONTABLE</t>
  </si>
  <si>
    <t>Legislación Financiera</t>
  </si>
  <si>
    <t>Contabilidad Avanzada</t>
  </si>
  <si>
    <t>Diagnóstico estratégico y Financiero</t>
  </si>
  <si>
    <t>Análisis y Administración
Financiera</t>
  </si>
  <si>
    <t>Contexto Financiero Internacional</t>
  </si>
  <si>
    <t>Econometría y herramentas
Herramientas</t>
  </si>
  <si>
    <t>ADMINISTRACION DE EMPRESAS</t>
  </si>
  <si>
    <t>CONTADURIA PUBLICA</t>
  </si>
  <si>
    <t>FACULTAD CIENCIAS AGROPECUARIAS</t>
  </si>
  <si>
    <t>ESPECIALIZACIÓN EN AGROECOLOGIA Y DESARROLLO AGROTURÍSTICO</t>
  </si>
  <si>
    <t>Economía rural y política pública</t>
  </si>
  <si>
    <t>Gestión ambiental y territorio</t>
  </si>
  <si>
    <t>Modelos de producción agropecuarios</t>
  </si>
  <si>
    <t>Seguridad alimentaria y cultivos andinos</t>
  </si>
  <si>
    <t>Agroecoturismo</t>
  </si>
  <si>
    <t>Sistemas de producción ecológicos</t>
  </si>
  <si>
    <t>ESPECIALIZACIÓN EN AGRONEGOCIOS SOSTENIBLE</t>
  </si>
  <si>
    <t>Cadenas de Abastecimiento</t>
  </si>
  <si>
    <t>Comercio Nacional e Internacional</t>
  </si>
  <si>
    <t>Mercadeo y Comercialización en agronegocios Sostenibles</t>
  </si>
  <si>
    <t>Pensamiento Estratégico y Liderazgo</t>
  </si>
  <si>
    <t>TIC aplicadas a la industria de productos agrícolas</t>
  </si>
  <si>
    <t>Diseño, Evaluación y Gestión de Proyectos de Desarrollo Sostenible</t>
  </si>
  <si>
    <t>Gestión Financiera</t>
  </si>
  <si>
    <t>ESPECIALIZACIÓN EN NUTRICIÓN Y ALIMENTACIÓN ANIMAL DE ESPECIES NO CONVENCIONALES</t>
  </si>
  <si>
    <t>Estrategias de alimentación y formulación de raciones en ovinos y caprinos</t>
  </si>
  <si>
    <t>Estrategias de alimentación y raciones en fauna silvestre</t>
  </si>
  <si>
    <t>Manejo nutricional para el desempeño reproductivo en ovinos y caprinos</t>
  </si>
  <si>
    <t>Materias primas no convencionales y aditivos para dietas de especies alternativas</t>
  </si>
  <si>
    <t>Metabolismo de nutrientes en monogastricos y poligastricos</t>
  </si>
  <si>
    <t>ESPECIALIZACIÓN EN RECURSOS ZOOGENÉTICOS</t>
  </si>
  <si>
    <t>Biología de la conservación de especies susceptibles de producción</t>
  </si>
  <si>
    <t>Etnozootecnia y manejo de recursos zoogenéticos</t>
  </si>
  <si>
    <t>Etología y bienestar animal enfocados a la fauna silvestre</t>
  </si>
  <si>
    <t>Gestión de proyectos en fauna silvestre</t>
  </si>
  <si>
    <t>MAESTRÍA EN GESTIÓN AMBIENTAL PARA EL DESARROLLO SOSTENIBLE</t>
  </si>
  <si>
    <t>Aplicaciones de sistemas de información geográfica</t>
  </si>
  <si>
    <t>Electiva (geopolítica de los recursos naturales, formulación de poyectos ambientales)</t>
  </si>
  <si>
    <t>Lesgislación ambiental</t>
  </si>
  <si>
    <t>MAESTRÍACIENCIAS AGRARIAS CON ELFASIS EN HORTIFRUTICULTURA</t>
  </si>
  <si>
    <t>Biotecnología Vegetal</t>
  </si>
  <si>
    <t>Formulación y Evaluación de Proyectos Hortifrutícola</t>
  </si>
  <si>
    <t>Profundización 1- Agricultura Climáticamente Inteligente</t>
  </si>
  <si>
    <t>Profundización 1- Producción Agrícola enfocada a Mercados no Convencionales</t>
  </si>
  <si>
    <t>Especialización en Gestión del Riesgo de Desastres y Planificación Ambiental en el Territorio</t>
  </si>
  <si>
    <t>Especialización en Gestión del recurso aire</t>
  </si>
  <si>
    <t>Especialización en Recurso Hídrico</t>
  </si>
  <si>
    <t>FACULTAD CIENCIAS DE LA SALUD</t>
  </si>
  <si>
    <t>ESPECIALIZACIÓN EN INTERVENCION PSICOSOCIAL</t>
  </si>
  <si>
    <t>Dimensiones del bienestar</t>
  </si>
  <si>
    <t>El cuidado en la cotidianidad</t>
  </si>
  <si>
    <t>La internvencio psicosocial y los problemas contemporaneos</t>
  </si>
  <si>
    <t>La salud y lo psicosocial</t>
  </si>
  <si>
    <t>Modelos de intervención psicosocial</t>
  </si>
  <si>
    <t>Diseño de proyectos de intervencion psicosocial</t>
  </si>
  <si>
    <t>Implementación y monitoreo de proyectos de intervencion psicosocial</t>
  </si>
  <si>
    <t>ENFERMERÍA</t>
  </si>
  <si>
    <t>FACULTAD DE INGENIERIA</t>
  </si>
  <si>
    <t>ESPECIALIZACIÓN EN  ANALITICA APLICADA A NEGOCIOS</t>
  </si>
  <si>
    <t>Analítica Predictiva</t>
  </si>
  <si>
    <t>Arquitectura de negocios</t>
  </si>
  <si>
    <t>Fundamentos en Big Data</t>
  </si>
  <si>
    <t>Gestión de Datos para Toma de Decisiones</t>
  </si>
  <si>
    <t>Modelos de Negocios</t>
  </si>
  <si>
    <t>Análisis de Big Data</t>
  </si>
  <si>
    <t>Innovación y Aplicaciones Digitales</t>
  </si>
  <si>
    <t>ESPECIALIZACIÓN EN ANALÍTICA Y CIENCIA DE DATOS</t>
  </si>
  <si>
    <t>Big Data</t>
  </si>
  <si>
    <t>Bussiness Analytics BA</t>
  </si>
  <si>
    <t>Gestión de proyectos centrada en datos</t>
  </si>
  <si>
    <t>Introducción a Machine Learning</t>
  </si>
  <si>
    <t>Minería de Datos</t>
  </si>
  <si>
    <t>Aplicación Machine Learning</t>
  </si>
  <si>
    <t>Diseño estadístico para datos estructurados y no estructurados</t>
  </si>
  <si>
    <t>ESPECIALIZACIÓN EN INFRAESTRUCTURA Y SEGURIDAD DE REDES</t>
  </si>
  <si>
    <t>Gestión de Infraestructuras de TI</t>
  </si>
  <si>
    <t>Infraestructuras Inalámbricas</t>
  </si>
  <si>
    <t>Redes Convergentes</t>
  </si>
  <si>
    <t>Redes WAN definidas por software</t>
  </si>
  <si>
    <t>Seguridad Perimetral</t>
  </si>
  <si>
    <t>Gestión de Proyectos de TI</t>
  </si>
  <si>
    <t>Seguridad de Arquitectura de Redes</t>
  </si>
  <si>
    <t>ESPECIALIZACIÓN EN INTELIGENCIA ARTIFICIAL</t>
  </si>
  <si>
    <t>Aplicación en DEEP learning</t>
  </si>
  <si>
    <t>Deep Learning - Fundamentos- Conceptos</t>
  </si>
  <si>
    <t>Inteligencia Artificial - Fundamentos-CONCEPTOS</t>
  </si>
  <si>
    <t>Machine Learning y algoritmos genéticos</t>
  </si>
  <si>
    <t>Procesamiento de lenguaje natural</t>
  </si>
  <si>
    <t>Persepción computacional</t>
  </si>
  <si>
    <t>ESPECIALIZACIÓN EN METODLOGÍAS DE CALIDAD PARA EL DESARROLLO DE SOFTWARE</t>
  </si>
  <si>
    <t>Estructura y arquitectura de software</t>
  </si>
  <si>
    <t>Gestión de Proyectos de software</t>
  </si>
  <si>
    <t>Mejoramiento de procesos de desarrollo</t>
  </si>
  <si>
    <t>Metodologías de desarrollo tradicionales</t>
  </si>
  <si>
    <t>Procesos de gestión de calidad de software</t>
  </si>
  <si>
    <t>Metodologías de desarrollo ágiles</t>
  </si>
  <si>
    <t>Procesos de desarrollo de software</t>
  </si>
  <si>
    <t>ESPECIALIZACIÓN EN SEGURIDAD DE LA INFORMACIÓN</t>
  </si>
  <si>
    <t>Desarrollo De Software Seguro</t>
  </si>
  <si>
    <t>Seguridad De Hardware</t>
  </si>
  <si>
    <t>Seguridad En Aplicaciones</t>
  </si>
  <si>
    <t>Seguridad En La Nube</t>
  </si>
  <si>
    <t>Ética Hacking</t>
  </si>
  <si>
    <t>15/10/2026</t>
  </si>
  <si>
    <t>Criptografía</t>
  </si>
  <si>
    <t>Introducción a La Seguridad De La Información</t>
  </si>
  <si>
    <t>INGENIERÍA INDUSTRIAL</t>
  </si>
  <si>
    <t>INGENIERÍA MECATRÓNICA</t>
  </si>
  <si>
    <t>FACULTAD CIENCIAS DEL DEPORTE</t>
  </si>
  <si>
    <t>ESPECIALIZACIÓN EN DEPORTE ESCOLAR</t>
  </si>
  <si>
    <t>Bases Teóricas</t>
  </si>
  <si>
    <t>Entrenamiento Deporte Adaptado</t>
  </si>
  <si>
    <t>Evaluación y Control</t>
  </si>
  <si>
    <t>Pedagogía en el deporte Escolar</t>
  </si>
  <si>
    <t>Aprendizaje y desarrollo motor en el contexto deportivo</t>
  </si>
  <si>
    <t>Deporte en etapas de iniciación y formación</t>
  </si>
  <si>
    <t>Fisiología del ejercicio en niños y adolescentes</t>
  </si>
  <si>
    <t>Aprobado en segunda instancia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</si>
</sst>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"/>
  </numFmts>
  <fonts count="25" x14ac:knownFonts="1">
    <font>
      <sz val="11"/>
      <color theme="1"/>
      <name val="Calibri"/>
      <family val="2"/>
      <charset val="1"/>
    </font>
    <font>
      <b/>
      <sz val="8"/>
      <color rgb="FF77827C"/>
      <name val="Arial"/>
      <charset val="1"/>
    </font>
    <font>
      <b/>
      <sz val="16"/>
      <color rgb="FF1F6B4A"/>
      <name val="Arial"/>
      <charset val="1"/>
    </font>
    <font>
      <sz val="10"/>
      <color rgb="FF77827C"/>
      <name val="Arial"/>
      <charset val="1"/>
    </font>
    <font>
      <b/>
      <sz val="9"/>
      <color rgb="FF77827C"/>
      <name val="Arial"/>
      <charset val="1"/>
    </font>
    <font>
      <sz val="10"/>
      <color rgb="FF1B211C"/>
      <name val="Arial"/>
      <charset val="1"/>
    </font>
    <font>
      <b/>
      <sz val="10"/>
      <color rgb="FF1B211C"/>
      <name val="Arial"/>
      <charset val="1"/>
    </font>
    <font>
      <sz val="9"/>
      <color rgb="FF77827C"/>
      <name val="Arial"/>
      <charset val="1"/>
    </font>
    <font>
      <b/>
      <sz val="10"/>
      <color rgb="FF1F6B4A"/>
      <name val="Arial"/>
      <charset val="1"/>
    </font>
    <font>
      <i/>
      <sz val="9"/>
      <color rgb="FF77827C"/>
      <name val="Arial"/>
      <charset val="1"/>
    </font>
    <font>
      <b/>
      <sz val="13"/>
      <color rgb="FF1F6B4A"/>
      <name val="Arial"/>
      <charset val="1"/>
    </font>
    <font>
      <b/>
      <sz val="10"/>
      <color rgb="FF0000FF"/>
      <name val="Arial"/>
      <charset val="1"/>
    </font>
    <font>
      <sz val="9"/>
      <color rgb="FF1B211C"/>
      <name val="Arial"/>
      <charset val="1"/>
    </font>
    <font>
      <b/>
      <sz val="9"/>
      <color rgb="FFFFFFFF"/>
      <name val="Arial"/>
      <charset val="1"/>
    </font>
    <font>
      <sz val="10"/>
      <color rgb="FF2E7D5B"/>
      <name val="Arial"/>
      <charset val="1"/>
    </font>
    <font>
      <sz val="10"/>
      <color rgb="FFB4761C"/>
      <name val="Arial"/>
      <charset val="1"/>
    </font>
    <font>
      <sz val="10"/>
      <color rgb="FF2C6E9B"/>
      <name val="Arial"/>
      <charset val="1"/>
    </font>
    <font>
      <sz val="10"/>
      <color rgb="FF6B4E9E"/>
      <name val="Arial"/>
      <charset val="1"/>
    </font>
    <font>
      <sz val="10"/>
      <name val="Arial"/>
      <family val="2"/>
    </font>
    <font>
      <b/>
      <sz val="10"/>
      <color rgb="FFA8402F"/>
      <name val="Arial"/>
      <charset val="1"/>
    </font>
    <font>
      <sz val="9"/>
      <color rgb="FFA8402F"/>
      <name val="Arial"/>
      <charset val="1"/>
    </font>
    <font>
      <b/>
      <sz val="15"/>
      <color theme="1"/>
      <name val="Calibri"/>
    </font>
    <font>
      <b/>
      <sz val="11"/>
      <color theme="1"/>
      <name val="Calibri"/>
    </font>
    <font>
      <b/>
      <sz val="10"/>
      <color rgb="FF000000"/>
      <name val="Calibri"/>
    </font>
    <font>
      <b/>
      <sz val="11"/>
      <color theme="1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E3EFE7"/>
        <bgColor rgb="FFDCEDE4"/>
      </patternFill>
    </fill>
    <fill>
      <patternFill patternType="solid">
        <fgColor rgb="FFDCEDE4"/>
        <bgColor rgb="FFE3EFE7"/>
      </patternFill>
    </fill>
    <fill>
      <patternFill patternType="solid">
        <fgColor rgb="FFF7E7CC"/>
        <bgColor rgb="FFFFF2B2"/>
      </patternFill>
    </fill>
    <fill>
      <patternFill patternType="solid">
        <fgColor rgb="FFD9E8F3"/>
        <bgColor rgb="FFDCEDE4"/>
      </patternFill>
    </fill>
    <fill>
      <patternFill patternType="solid">
        <fgColor rgb="FFE7E0F3"/>
        <bgColor rgb="FFD9E8F3"/>
      </patternFill>
    </fill>
    <fill>
      <patternFill patternType="solid">
        <fgColor rgb="FF1F6B4A"/>
        <bgColor rgb="FF2E7D5B"/>
      </patternFill>
    </fill>
    <fill>
      <patternFill patternType="solid">
        <fgColor rgb="FFFFF2B2"/>
        <bgColor rgb="FFF7E7C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5F9"/>
        <bgColor rgb="FFF2F5F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2F5F9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rgb="FFDDE1D8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/>
      <bottom style="thin">
        <color rgb="FF00000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000000"/>
      </top>
      <bottom style="thin">
        <color rgb="FFD9D9D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D9D9D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 style="thin">
        <color rgb="FFD9D9D9"/>
      </right>
      <top/>
      <bottom style="thin">
        <color rgb="FF000000"/>
      </bottom>
      <diagonal/>
    </border>
    <border>
      <left/>
      <right style="thin">
        <color rgb="FFD9D9D9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/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3" fontId="6" fillId="0" borderId="1" xfId="0" applyNumberFormat="1" applyFont="1" applyBorder="1" applyAlignment="1">
      <alignment horizontal="right"/>
    </xf>
    <xf numFmtId="0" fontId="7" fillId="0" borderId="1" xfId="0" applyFont="1" applyBorder="1"/>
    <xf numFmtId="4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8" fillId="2" borderId="0" xfId="0" applyFont="1" applyFill="1"/>
    <xf numFmtId="0" fontId="0" fillId="2" borderId="0" xfId="0" applyFill="1"/>
    <xf numFmtId="0" fontId="8" fillId="2" borderId="0" xfId="0" applyFont="1" applyFill="1" applyAlignment="1">
      <alignment horizontal="right"/>
    </xf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9" fillId="0" borderId="0" xfId="0" applyFont="1"/>
    <xf numFmtId="0" fontId="10" fillId="0" borderId="0" xfId="0" applyFont="1"/>
    <xf numFmtId="14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8" fillId="0" borderId="0" xfId="0" applyFont="1"/>
    <xf numFmtId="0" fontId="4" fillId="0" borderId="0" xfId="0" applyFont="1"/>
    <xf numFmtId="14" fontId="5" fillId="0" borderId="1" xfId="0" applyNumberFormat="1" applyFont="1" applyBorder="1"/>
    <xf numFmtId="0" fontId="13" fillId="7" borderId="0" xfId="0" applyFont="1" applyFill="1" applyAlignment="1">
      <alignment horizontal="center" vertical="center"/>
    </xf>
    <xf numFmtId="0" fontId="14" fillId="3" borderId="1" xfId="0" applyFont="1" applyFill="1" applyBorder="1"/>
    <xf numFmtId="0" fontId="11" fillId="8" borderId="1" xfId="0" applyFont="1" applyFill="1" applyBorder="1" applyAlignment="1">
      <alignment horizontal="right"/>
    </xf>
    <xf numFmtId="0" fontId="9" fillId="0" borderId="1" xfId="0" applyFont="1" applyBorder="1"/>
    <xf numFmtId="0" fontId="15" fillId="4" borderId="1" xfId="0" applyFont="1" applyFill="1" applyBorder="1"/>
    <xf numFmtId="0" fontId="16" fillId="5" borderId="1" xfId="0" applyFont="1" applyFill="1" applyBorder="1"/>
    <xf numFmtId="0" fontId="17" fillId="6" borderId="1" xfId="0" applyFont="1" applyFill="1" applyBorder="1"/>
    <xf numFmtId="0" fontId="8" fillId="0" borderId="0" xfId="0" applyFont="1" applyAlignment="1">
      <alignment horizontal="right"/>
    </xf>
    <xf numFmtId="0" fontId="13" fillId="7" borderId="0" xfId="0" applyFont="1" applyFill="1" applyAlignment="1">
      <alignment horizontal="center"/>
    </xf>
    <xf numFmtId="0" fontId="0" fillId="0" borderId="1" xfId="0" applyBorder="1"/>
    <xf numFmtId="0" fontId="19" fillId="0" borderId="1" xfId="0" applyFont="1" applyBorder="1"/>
    <xf numFmtId="0" fontId="20" fillId="0" borderId="1" xfId="0" applyFont="1" applyBorder="1"/>
    <xf numFmtId="165" fontId="5" fillId="0" borderId="1" xfId="0" applyNumberFormat="1" applyFont="1" applyBorder="1"/>
    <xf numFmtId="0" fontId="0" fillId="0" borderId="0" xfId="0" applyAlignment="1">
      <alignment horizontal="center" vertical="center"/>
    </xf>
    <xf numFmtId="0" fontId="21" fillId="14" borderId="19" xfId="0" applyFont="1" applyFill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12" borderId="19" xfId="0" applyFont="1" applyFill="1" applyBorder="1" applyAlignment="1">
      <alignment horizontal="center" vertical="center"/>
    </xf>
    <xf numFmtId="0" fontId="21" fillId="16" borderId="16" xfId="0" applyFont="1" applyFill="1" applyBorder="1" applyAlignment="1">
      <alignment horizontal="center" vertical="center"/>
    </xf>
    <xf numFmtId="0" fontId="21" fillId="17" borderId="16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11" borderId="3" xfId="0" applyFont="1" applyFill="1" applyBorder="1" applyAlignment="1">
      <alignment horizontal="center" vertical="center"/>
    </xf>
    <xf numFmtId="14" fontId="23" fillId="0" borderId="25" xfId="0" applyNumberFormat="1" applyFont="1" applyBorder="1" applyAlignment="1">
      <alignment horizontal="center" vertical="center"/>
    </xf>
    <xf numFmtId="0" fontId="22" fillId="15" borderId="28" xfId="0" applyFont="1" applyFill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3" fillId="10" borderId="2" xfId="0" applyFont="1" applyFill="1" applyBorder="1" applyAlignment="1">
      <alignment horizontal="center" vertical="center"/>
    </xf>
    <xf numFmtId="0" fontId="23" fillId="11" borderId="5" xfId="0" applyFont="1" applyFill="1" applyBorder="1" applyAlignment="1">
      <alignment horizontal="center" vertical="center"/>
    </xf>
    <xf numFmtId="0" fontId="22" fillId="15" borderId="13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3" fillId="10" borderId="3" xfId="0" applyFont="1" applyFill="1" applyBorder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11" borderId="7" xfId="0" applyFont="1" applyFill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11" borderId="8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11" borderId="9" xfId="0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11" borderId="22" xfId="0" applyFont="1" applyFill="1" applyBorder="1" applyAlignment="1">
      <alignment horizontal="center" vertical="center"/>
    </xf>
    <xf numFmtId="0" fontId="23" fillId="10" borderId="18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14" fontId="23" fillId="0" borderId="26" xfId="0" applyNumberFormat="1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11" borderId="11" xfId="0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11" borderId="10" xfId="0" applyFont="1" applyFill="1" applyBorder="1" applyAlignment="1">
      <alignment horizontal="center" vertical="center"/>
    </xf>
    <xf numFmtId="0" fontId="23" fillId="10" borderId="14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11" borderId="21" xfId="0" applyFont="1" applyFill="1" applyBorder="1" applyAlignment="1">
      <alignment horizontal="center" vertical="center"/>
    </xf>
    <xf numFmtId="0" fontId="22" fillId="15" borderId="27" xfId="0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3" fillId="20" borderId="9" xfId="0" applyFont="1" applyFill="1" applyBorder="1" applyAlignment="1">
      <alignment horizontal="center" vertical="center"/>
    </xf>
    <xf numFmtId="0" fontId="23" fillId="19" borderId="10" xfId="0" applyFont="1" applyFill="1" applyBorder="1" applyAlignment="1">
      <alignment horizontal="center" vertical="center"/>
    </xf>
    <xf numFmtId="0" fontId="23" fillId="10" borderId="23" xfId="0" applyFont="1" applyFill="1" applyBorder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22" fillId="15" borderId="2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3" fillId="19" borderId="22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3" fillId="20" borderId="22" xfId="0" applyFont="1" applyFill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14" fontId="24" fillId="0" borderId="7" xfId="0" applyNumberFormat="1" applyFont="1" applyBorder="1" applyAlignment="1">
      <alignment horizontal="center" vertical="center"/>
    </xf>
    <xf numFmtId="0" fontId="23" fillId="11" borderId="29" xfId="0" applyFont="1" applyFill="1" applyBorder="1" applyAlignment="1">
      <alignment horizontal="center" vertical="center"/>
    </xf>
    <xf numFmtId="0" fontId="23" fillId="11" borderId="32" xfId="0" applyFont="1" applyFill="1" applyBorder="1" applyAlignment="1">
      <alignment horizontal="center" vertical="center"/>
    </xf>
    <xf numFmtId="0" fontId="23" fillId="11" borderId="33" xfId="0" applyFont="1" applyFill="1" applyBorder="1" applyAlignment="1">
      <alignment horizontal="center" vertical="center"/>
    </xf>
    <xf numFmtId="0" fontId="22" fillId="15" borderId="26" xfId="0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3" fillId="11" borderId="24" xfId="0" applyFont="1" applyFill="1" applyBorder="1" applyAlignment="1">
      <alignment horizontal="center" vertical="center"/>
    </xf>
    <xf numFmtId="14" fontId="24" fillId="0" borderId="31" xfId="0" applyNumberFormat="1" applyFont="1" applyBorder="1" applyAlignment="1">
      <alignment horizontal="center" vertical="center"/>
    </xf>
    <xf numFmtId="14" fontId="24" fillId="0" borderId="30" xfId="0" applyNumberFormat="1" applyFont="1" applyBorder="1" applyAlignment="1">
      <alignment horizontal="center" vertical="center"/>
    </xf>
    <xf numFmtId="14" fontId="24" fillId="0" borderId="19" xfId="0" applyNumberFormat="1" applyFont="1" applyBorder="1" applyAlignment="1">
      <alignment horizontal="center" vertical="center"/>
    </xf>
    <xf numFmtId="14" fontId="24" fillId="0" borderId="25" xfId="0" applyNumberFormat="1" applyFont="1" applyBorder="1" applyAlignment="1">
      <alignment horizontal="center" vertical="center"/>
    </xf>
    <xf numFmtId="14" fontId="24" fillId="0" borderId="26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14" fontId="23" fillId="0" borderId="29" xfId="0" applyNumberFormat="1" applyFont="1" applyBorder="1" applyAlignment="1">
      <alignment horizontal="center" vertical="center"/>
    </xf>
    <xf numFmtId="14" fontId="23" fillId="0" borderId="27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2" fillId="15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3" fillId="10" borderId="31" xfId="0" applyFont="1" applyFill="1" applyBorder="1" applyAlignment="1">
      <alignment horizontal="center" vertical="center"/>
    </xf>
    <xf numFmtId="0" fontId="23" fillId="10" borderId="16" xfId="0" applyFont="1" applyFill="1" applyBorder="1" applyAlignment="1">
      <alignment horizontal="center" vertical="center"/>
    </xf>
    <xf numFmtId="0" fontId="23" fillId="11" borderId="27" xfId="0" applyFont="1" applyFill="1" applyBorder="1" applyAlignment="1">
      <alignment horizontal="center" vertical="center"/>
    </xf>
    <xf numFmtId="0" fontId="23" fillId="11" borderId="28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1" fillId="18" borderId="16" xfId="0" applyFont="1" applyFill="1" applyBorder="1" applyAlignment="1">
      <alignment horizontal="center" vertical="center"/>
    </xf>
    <xf numFmtId="0" fontId="22" fillId="21" borderId="7" xfId="0" applyFont="1" applyFill="1" applyBorder="1" applyAlignment="1">
      <alignment horizontal="center" vertical="center"/>
    </xf>
    <xf numFmtId="0" fontId="22" fillId="21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1" fillId="13" borderId="35" xfId="0" applyFont="1" applyFill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1" fillId="14" borderId="34" xfId="0" applyFont="1" applyFill="1" applyBorder="1" applyAlignment="1">
      <alignment horizontal="center" vertical="center"/>
    </xf>
    <xf numFmtId="0" fontId="22" fillId="15" borderId="34" xfId="0" applyFont="1" applyFill="1" applyBorder="1" applyAlignment="1">
      <alignment horizontal="center" vertical="center"/>
    </xf>
    <xf numFmtId="0" fontId="22" fillId="15" borderId="36" xfId="0" applyFont="1" applyFill="1" applyBorder="1" applyAlignment="1">
      <alignment horizontal="center" vertical="center"/>
    </xf>
    <xf numFmtId="0" fontId="22" fillId="15" borderId="37" xfId="0" applyFont="1" applyFill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0" fontId="22" fillId="15" borderId="19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2" fillId="15" borderId="29" xfId="0" applyFont="1" applyFill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15" borderId="1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3" fillId="9" borderId="34" xfId="0" applyFont="1" applyFill="1" applyBorder="1" applyAlignment="1">
      <alignment horizontal="center" vertical="center"/>
    </xf>
    <xf numFmtId="0" fontId="22" fillId="9" borderId="34" xfId="0" applyFont="1" applyFill="1" applyBorder="1" applyAlignment="1">
      <alignment horizontal="center" vertical="center"/>
    </xf>
    <xf numFmtId="0" fontId="22" fillId="9" borderId="38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theme="1"/>
      </font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z val="10"/>
        <color rgb="FF2E7D5B"/>
        <name val="Arial"/>
        <charset val="1"/>
      </font>
    </dxf>
    <dxf>
      <font>
        <b/>
        <sz val="10"/>
        <color rgb="FFA8402F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761C"/>
      <rgbColor rgb="FF800080"/>
      <rgbColor rgb="FF2C6E9B"/>
      <rgbColor rgb="FFDDE1D8"/>
      <rgbColor rgb="FF77827C"/>
      <rgbColor rgb="FF9999FF"/>
      <rgbColor rgb="FFBE4B48"/>
      <rgbColor rgb="FFF7E7CC"/>
      <rgbColor rgb="FFE3EFE7"/>
      <rgbColor rgb="FF660066"/>
      <rgbColor rgb="FFFF8080"/>
      <rgbColor rgb="FF4F81BD"/>
      <rgbColor rgb="FFD9D9D9"/>
      <rgbColor rgb="FF000080"/>
      <rgbColor rgb="FFFF00FF"/>
      <rgbColor rgb="FFFFFF00"/>
      <rgbColor rgb="FF00FFFF"/>
      <rgbColor rgb="FF800080"/>
      <rgbColor rgb="FF800000"/>
      <rgbColor rgb="FF1F6B4A"/>
      <rgbColor rgb="FF0000FF"/>
      <rgbColor rgb="FF00CCFF"/>
      <rgbColor rgb="FFD9E8F3"/>
      <rgbColor rgb="FFDCEDE4"/>
      <rgbColor rgb="FFFFF2B2"/>
      <rgbColor rgb="FF99CCFF"/>
      <rgbColor rgb="FFFF99CC"/>
      <rgbColor rgb="FFCC99FF"/>
      <rgbColor rgb="FFE7E0F3"/>
      <rgbColor rgb="FF4A7EBB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2E7D5B"/>
      <rgbColor rgb="FF003300"/>
      <rgbColor rgb="FF333300"/>
      <rgbColor rgb="FFA8402F"/>
      <rgbColor rgb="FFC0504D"/>
      <rgbColor rgb="FF6B4E9E"/>
      <rgbColor rgb="FF1B21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Avance acumulado de PAD virtualizados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'Curva de avance'!$C$3</c:f>
              <c:strCache>
                <c:ptCount val="1"/>
                <c:pt idx="0">
                  <c:v>Plan acumulado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'Curva de avance'!$A$4:$A$54</c:f>
              <c:numCache>
                <c:formatCode>dd/mm</c:formatCode>
                <c:ptCount val="51"/>
                <c:pt idx="0">
                  <c:v>46281</c:v>
                </c:pt>
                <c:pt idx="1">
                  <c:v>46282</c:v>
                </c:pt>
                <c:pt idx="2">
                  <c:v>46283</c:v>
                </c:pt>
                <c:pt idx="3">
                  <c:v>46286</c:v>
                </c:pt>
                <c:pt idx="4">
                  <c:v>46287</c:v>
                </c:pt>
                <c:pt idx="5">
                  <c:v>46288</c:v>
                </c:pt>
                <c:pt idx="6">
                  <c:v>46289</c:v>
                </c:pt>
                <c:pt idx="7">
                  <c:v>46290</c:v>
                </c:pt>
                <c:pt idx="8">
                  <c:v>46293</c:v>
                </c:pt>
                <c:pt idx="9">
                  <c:v>46294</c:v>
                </c:pt>
                <c:pt idx="10">
                  <c:v>46295</c:v>
                </c:pt>
                <c:pt idx="11">
                  <c:v>46296</c:v>
                </c:pt>
                <c:pt idx="12">
                  <c:v>46297</c:v>
                </c:pt>
                <c:pt idx="13">
                  <c:v>46300</c:v>
                </c:pt>
                <c:pt idx="14">
                  <c:v>46301</c:v>
                </c:pt>
                <c:pt idx="15">
                  <c:v>46302</c:v>
                </c:pt>
                <c:pt idx="16">
                  <c:v>46303</c:v>
                </c:pt>
                <c:pt idx="17">
                  <c:v>46304</c:v>
                </c:pt>
                <c:pt idx="18">
                  <c:v>46308</c:v>
                </c:pt>
                <c:pt idx="19">
                  <c:v>46309</c:v>
                </c:pt>
                <c:pt idx="20">
                  <c:v>46310</c:v>
                </c:pt>
                <c:pt idx="21">
                  <c:v>46311</c:v>
                </c:pt>
                <c:pt idx="22">
                  <c:v>46314</c:v>
                </c:pt>
                <c:pt idx="23">
                  <c:v>46315</c:v>
                </c:pt>
                <c:pt idx="24">
                  <c:v>46316</c:v>
                </c:pt>
                <c:pt idx="25">
                  <c:v>46317</c:v>
                </c:pt>
                <c:pt idx="26">
                  <c:v>46318</c:v>
                </c:pt>
                <c:pt idx="27">
                  <c:v>46321</c:v>
                </c:pt>
                <c:pt idx="28">
                  <c:v>46322</c:v>
                </c:pt>
                <c:pt idx="29">
                  <c:v>46323</c:v>
                </c:pt>
                <c:pt idx="30">
                  <c:v>46324</c:v>
                </c:pt>
                <c:pt idx="31">
                  <c:v>46325</c:v>
                </c:pt>
                <c:pt idx="32">
                  <c:v>46329</c:v>
                </c:pt>
                <c:pt idx="33">
                  <c:v>46330</c:v>
                </c:pt>
                <c:pt idx="34">
                  <c:v>46331</c:v>
                </c:pt>
                <c:pt idx="35">
                  <c:v>46332</c:v>
                </c:pt>
                <c:pt idx="36">
                  <c:v>46335</c:v>
                </c:pt>
                <c:pt idx="37">
                  <c:v>46336</c:v>
                </c:pt>
                <c:pt idx="38">
                  <c:v>46337</c:v>
                </c:pt>
                <c:pt idx="39">
                  <c:v>46338</c:v>
                </c:pt>
                <c:pt idx="40">
                  <c:v>46339</c:v>
                </c:pt>
                <c:pt idx="41">
                  <c:v>46343</c:v>
                </c:pt>
                <c:pt idx="42">
                  <c:v>46344</c:v>
                </c:pt>
                <c:pt idx="43">
                  <c:v>46345</c:v>
                </c:pt>
                <c:pt idx="44">
                  <c:v>46346</c:v>
                </c:pt>
                <c:pt idx="45">
                  <c:v>46349</c:v>
                </c:pt>
                <c:pt idx="46">
                  <c:v>46350</c:v>
                </c:pt>
                <c:pt idx="47">
                  <c:v>46351</c:v>
                </c:pt>
                <c:pt idx="48">
                  <c:v>46352</c:v>
                </c:pt>
                <c:pt idx="49">
                  <c:v>46353</c:v>
                </c:pt>
                <c:pt idx="50">
                  <c:v>46356</c:v>
                </c:pt>
              </c:numCache>
            </c:numRef>
          </c:cat>
          <c:val>
            <c:numRef>
              <c:f>'Curva de avance'!$C$4:$C$54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20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68</c:v>
                </c:pt>
                <c:pt idx="30">
                  <c:v>84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118</c:v>
                </c:pt>
                <c:pt idx="39">
                  <c:v>134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168</c:v>
                </c:pt>
                <c:pt idx="49">
                  <c:v>184</c:v>
                </c:pt>
                <c:pt idx="50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15-4E81-967B-5D994D5A7A52}"/>
            </c:ext>
          </c:extLst>
        </c:ser>
        <c:ser>
          <c:idx val="1"/>
          <c:order val="1"/>
          <c:tx>
            <c:strRef>
              <c:f>'Curva de avance'!$D$3</c:f>
              <c:strCache>
                <c:ptCount val="1"/>
                <c:pt idx="0">
                  <c:v>Real acumulado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'Curva de avance'!$A$4:$A$54</c:f>
              <c:numCache>
                <c:formatCode>dd/mm</c:formatCode>
                <c:ptCount val="51"/>
                <c:pt idx="0">
                  <c:v>46281</c:v>
                </c:pt>
                <c:pt idx="1">
                  <c:v>46282</c:v>
                </c:pt>
                <c:pt idx="2">
                  <c:v>46283</c:v>
                </c:pt>
                <c:pt idx="3">
                  <c:v>46286</c:v>
                </c:pt>
                <c:pt idx="4">
                  <c:v>46287</c:v>
                </c:pt>
                <c:pt idx="5">
                  <c:v>46288</c:v>
                </c:pt>
                <c:pt idx="6">
                  <c:v>46289</c:v>
                </c:pt>
                <c:pt idx="7">
                  <c:v>46290</c:v>
                </c:pt>
                <c:pt idx="8">
                  <c:v>46293</c:v>
                </c:pt>
                <c:pt idx="9">
                  <c:v>46294</c:v>
                </c:pt>
                <c:pt idx="10">
                  <c:v>46295</c:v>
                </c:pt>
                <c:pt idx="11">
                  <c:v>46296</c:v>
                </c:pt>
                <c:pt idx="12">
                  <c:v>46297</c:v>
                </c:pt>
                <c:pt idx="13">
                  <c:v>46300</c:v>
                </c:pt>
                <c:pt idx="14">
                  <c:v>46301</c:v>
                </c:pt>
                <c:pt idx="15">
                  <c:v>46302</c:v>
                </c:pt>
                <c:pt idx="16">
                  <c:v>46303</c:v>
                </c:pt>
                <c:pt idx="17">
                  <c:v>46304</c:v>
                </c:pt>
                <c:pt idx="18">
                  <c:v>46308</c:v>
                </c:pt>
                <c:pt idx="19">
                  <c:v>46309</c:v>
                </c:pt>
                <c:pt idx="20">
                  <c:v>46310</c:v>
                </c:pt>
                <c:pt idx="21">
                  <c:v>46311</c:v>
                </c:pt>
                <c:pt idx="22">
                  <c:v>46314</c:v>
                </c:pt>
                <c:pt idx="23">
                  <c:v>46315</c:v>
                </c:pt>
                <c:pt idx="24">
                  <c:v>46316</c:v>
                </c:pt>
                <c:pt idx="25">
                  <c:v>46317</c:v>
                </c:pt>
                <c:pt idx="26">
                  <c:v>46318</c:v>
                </c:pt>
                <c:pt idx="27">
                  <c:v>46321</c:v>
                </c:pt>
                <c:pt idx="28">
                  <c:v>46322</c:v>
                </c:pt>
                <c:pt idx="29">
                  <c:v>46323</c:v>
                </c:pt>
                <c:pt idx="30">
                  <c:v>46324</c:v>
                </c:pt>
                <c:pt idx="31">
                  <c:v>46325</c:v>
                </c:pt>
                <c:pt idx="32">
                  <c:v>46329</c:v>
                </c:pt>
                <c:pt idx="33">
                  <c:v>46330</c:v>
                </c:pt>
                <c:pt idx="34">
                  <c:v>46331</c:v>
                </c:pt>
                <c:pt idx="35">
                  <c:v>46332</c:v>
                </c:pt>
                <c:pt idx="36">
                  <c:v>46335</c:v>
                </c:pt>
                <c:pt idx="37">
                  <c:v>46336</c:v>
                </c:pt>
                <c:pt idx="38">
                  <c:v>46337</c:v>
                </c:pt>
                <c:pt idx="39">
                  <c:v>46338</c:v>
                </c:pt>
                <c:pt idx="40">
                  <c:v>46339</c:v>
                </c:pt>
                <c:pt idx="41">
                  <c:v>46343</c:v>
                </c:pt>
                <c:pt idx="42">
                  <c:v>46344</c:v>
                </c:pt>
                <c:pt idx="43">
                  <c:v>46345</c:v>
                </c:pt>
                <c:pt idx="44">
                  <c:v>46346</c:v>
                </c:pt>
                <c:pt idx="45">
                  <c:v>46349</c:v>
                </c:pt>
                <c:pt idx="46">
                  <c:v>46350</c:v>
                </c:pt>
                <c:pt idx="47">
                  <c:v>46351</c:v>
                </c:pt>
                <c:pt idx="48">
                  <c:v>46352</c:v>
                </c:pt>
                <c:pt idx="49">
                  <c:v>46353</c:v>
                </c:pt>
                <c:pt idx="50">
                  <c:v>46356</c:v>
                </c:pt>
              </c:numCache>
            </c:numRef>
          </c:cat>
          <c:val>
            <c:numRef>
              <c:f>'Curva de avance'!$D$4:$D$54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15-4E81-967B-5D994D5A7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0396671"/>
        <c:axId val="55270769"/>
      </c:lineChart>
      <c:dateAx>
        <c:axId val="603966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Días hábiles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5270769"/>
        <c:crosses val="autoZero"/>
        <c:auto val="1"/>
        <c:lblOffset val="100"/>
        <c:baseTimeUnit val="days"/>
      </c:dateAx>
      <c:valAx>
        <c:axId val="55270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PAD acumulados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03966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Carga diaria programada por fase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Calendario!$D$1</c:f>
              <c:strCache>
                <c:ptCount val="1"/>
                <c:pt idx="0">
                  <c:v>Gen.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Calendario!$A$2:$A$55</c:f>
              <c:numCache>
                <c:formatCode>m/d/yyyy</c:formatCode>
                <c:ptCount val="54"/>
                <c:pt idx="0">
                  <c:v>46281</c:v>
                </c:pt>
                <c:pt idx="1">
                  <c:v>46282</c:v>
                </c:pt>
                <c:pt idx="2">
                  <c:v>46283</c:v>
                </c:pt>
                <c:pt idx="3">
                  <c:v>46286</c:v>
                </c:pt>
                <c:pt idx="4">
                  <c:v>46287</c:v>
                </c:pt>
                <c:pt idx="5">
                  <c:v>46288</c:v>
                </c:pt>
                <c:pt idx="6">
                  <c:v>46289</c:v>
                </c:pt>
                <c:pt idx="7">
                  <c:v>46290</c:v>
                </c:pt>
                <c:pt idx="8">
                  <c:v>46293</c:v>
                </c:pt>
                <c:pt idx="9">
                  <c:v>46294</c:v>
                </c:pt>
                <c:pt idx="10">
                  <c:v>46295</c:v>
                </c:pt>
                <c:pt idx="11">
                  <c:v>46296</c:v>
                </c:pt>
                <c:pt idx="12">
                  <c:v>46297</c:v>
                </c:pt>
                <c:pt idx="13">
                  <c:v>46300</c:v>
                </c:pt>
                <c:pt idx="14">
                  <c:v>46301</c:v>
                </c:pt>
                <c:pt idx="15">
                  <c:v>46302</c:v>
                </c:pt>
                <c:pt idx="16">
                  <c:v>46303</c:v>
                </c:pt>
                <c:pt idx="17">
                  <c:v>46304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46314</c:v>
                </c:pt>
                <c:pt idx="24">
                  <c:v>46315</c:v>
                </c:pt>
                <c:pt idx="25">
                  <c:v>46316</c:v>
                </c:pt>
                <c:pt idx="26">
                  <c:v>46317</c:v>
                </c:pt>
                <c:pt idx="27">
                  <c:v>46318</c:v>
                </c:pt>
                <c:pt idx="28">
                  <c:v>46321</c:v>
                </c:pt>
                <c:pt idx="29">
                  <c:v>46322</c:v>
                </c:pt>
                <c:pt idx="30">
                  <c:v>46323</c:v>
                </c:pt>
                <c:pt idx="31">
                  <c:v>46324</c:v>
                </c:pt>
                <c:pt idx="32">
                  <c:v>46325</c:v>
                </c:pt>
                <c:pt idx="33">
                  <c:v>46328</c:v>
                </c:pt>
                <c:pt idx="34">
                  <c:v>46329</c:v>
                </c:pt>
                <c:pt idx="35">
                  <c:v>46330</c:v>
                </c:pt>
                <c:pt idx="36">
                  <c:v>46331</c:v>
                </c:pt>
                <c:pt idx="37">
                  <c:v>46332</c:v>
                </c:pt>
                <c:pt idx="38">
                  <c:v>46335</c:v>
                </c:pt>
                <c:pt idx="39">
                  <c:v>46336</c:v>
                </c:pt>
                <c:pt idx="40">
                  <c:v>46337</c:v>
                </c:pt>
                <c:pt idx="41">
                  <c:v>46338</c:v>
                </c:pt>
                <c:pt idx="42">
                  <c:v>46339</c:v>
                </c:pt>
                <c:pt idx="43">
                  <c:v>46342</c:v>
                </c:pt>
                <c:pt idx="44">
                  <c:v>46343</c:v>
                </c:pt>
                <c:pt idx="45">
                  <c:v>46344</c:v>
                </c:pt>
                <c:pt idx="46">
                  <c:v>46345</c:v>
                </c:pt>
                <c:pt idx="47">
                  <c:v>46346</c:v>
                </c:pt>
                <c:pt idx="48">
                  <c:v>46349</c:v>
                </c:pt>
                <c:pt idx="49">
                  <c:v>46350</c:v>
                </c:pt>
                <c:pt idx="50">
                  <c:v>46351</c:v>
                </c:pt>
                <c:pt idx="51">
                  <c:v>46352</c:v>
                </c:pt>
                <c:pt idx="52">
                  <c:v>46353</c:v>
                </c:pt>
                <c:pt idx="53">
                  <c:v>46356</c:v>
                </c:pt>
              </c:numCache>
            </c:numRef>
          </c:cat>
          <c:val>
            <c:numRef>
              <c:f>Calendario!$D$2:$D$55</c:f>
              <c:numCache>
                <c:formatCode>General</c:formatCode>
                <c:ptCount val="5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18</c:v>
                </c:pt>
                <c:pt idx="35">
                  <c:v>16</c:v>
                </c:pt>
                <c:pt idx="36">
                  <c:v>16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14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5-4249-87C3-155FF3E9FF0A}"/>
            </c:ext>
          </c:extLst>
        </c:ser>
        <c:ser>
          <c:idx val="1"/>
          <c:order val="1"/>
          <c:tx>
            <c:strRef>
              <c:f>Calendario!$E$1</c:f>
              <c:strCache>
                <c:ptCount val="1"/>
                <c:pt idx="0">
                  <c:v>Rev.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Calendario!$A$2:$A$55</c:f>
              <c:numCache>
                <c:formatCode>m/d/yyyy</c:formatCode>
                <c:ptCount val="54"/>
                <c:pt idx="0">
                  <c:v>46281</c:v>
                </c:pt>
                <c:pt idx="1">
                  <c:v>46282</c:v>
                </c:pt>
                <c:pt idx="2">
                  <c:v>46283</c:v>
                </c:pt>
                <c:pt idx="3">
                  <c:v>46286</c:v>
                </c:pt>
                <c:pt idx="4">
                  <c:v>46287</c:v>
                </c:pt>
                <c:pt idx="5">
                  <c:v>46288</c:v>
                </c:pt>
                <c:pt idx="6">
                  <c:v>46289</c:v>
                </c:pt>
                <c:pt idx="7">
                  <c:v>46290</c:v>
                </c:pt>
                <c:pt idx="8">
                  <c:v>46293</c:v>
                </c:pt>
                <c:pt idx="9">
                  <c:v>46294</c:v>
                </c:pt>
                <c:pt idx="10">
                  <c:v>46295</c:v>
                </c:pt>
                <c:pt idx="11">
                  <c:v>46296</c:v>
                </c:pt>
                <c:pt idx="12">
                  <c:v>46297</c:v>
                </c:pt>
                <c:pt idx="13">
                  <c:v>46300</c:v>
                </c:pt>
                <c:pt idx="14">
                  <c:v>46301</c:v>
                </c:pt>
                <c:pt idx="15">
                  <c:v>46302</c:v>
                </c:pt>
                <c:pt idx="16">
                  <c:v>46303</c:v>
                </c:pt>
                <c:pt idx="17">
                  <c:v>46304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46314</c:v>
                </c:pt>
                <c:pt idx="24">
                  <c:v>46315</c:v>
                </c:pt>
                <c:pt idx="25">
                  <c:v>46316</c:v>
                </c:pt>
                <c:pt idx="26">
                  <c:v>46317</c:v>
                </c:pt>
                <c:pt idx="27">
                  <c:v>46318</c:v>
                </c:pt>
                <c:pt idx="28">
                  <c:v>46321</c:v>
                </c:pt>
                <c:pt idx="29">
                  <c:v>46322</c:v>
                </c:pt>
                <c:pt idx="30">
                  <c:v>46323</c:v>
                </c:pt>
                <c:pt idx="31">
                  <c:v>46324</c:v>
                </c:pt>
                <c:pt idx="32">
                  <c:v>46325</c:v>
                </c:pt>
                <c:pt idx="33">
                  <c:v>46328</c:v>
                </c:pt>
                <c:pt idx="34">
                  <c:v>46329</c:v>
                </c:pt>
                <c:pt idx="35">
                  <c:v>46330</c:v>
                </c:pt>
                <c:pt idx="36">
                  <c:v>46331</c:v>
                </c:pt>
                <c:pt idx="37">
                  <c:v>46332</c:v>
                </c:pt>
                <c:pt idx="38">
                  <c:v>46335</c:v>
                </c:pt>
                <c:pt idx="39">
                  <c:v>46336</c:v>
                </c:pt>
                <c:pt idx="40">
                  <c:v>46337</c:v>
                </c:pt>
                <c:pt idx="41">
                  <c:v>46338</c:v>
                </c:pt>
                <c:pt idx="42">
                  <c:v>46339</c:v>
                </c:pt>
                <c:pt idx="43">
                  <c:v>46342</c:v>
                </c:pt>
                <c:pt idx="44">
                  <c:v>46343</c:v>
                </c:pt>
                <c:pt idx="45">
                  <c:v>46344</c:v>
                </c:pt>
                <c:pt idx="46">
                  <c:v>46345</c:v>
                </c:pt>
                <c:pt idx="47">
                  <c:v>46346</c:v>
                </c:pt>
                <c:pt idx="48">
                  <c:v>46349</c:v>
                </c:pt>
                <c:pt idx="49">
                  <c:v>46350</c:v>
                </c:pt>
                <c:pt idx="50">
                  <c:v>46351</c:v>
                </c:pt>
                <c:pt idx="51">
                  <c:v>46352</c:v>
                </c:pt>
                <c:pt idx="52">
                  <c:v>46353</c:v>
                </c:pt>
                <c:pt idx="53">
                  <c:v>46356</c:v>
                </c:pt>
              </c:numCache>
            </c:numRef>
          </c:cat>
          <c:val>
            <c:numRef>
              <c:f>Calendario!$E$2:$E$55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14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18</c:v>
                </c:pt>
                <c:pt idx="37">
                  <c:v>16</c:v>
                </c:pt>
                <c:pt idx="38">
                  <c:v>16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18</c:v>
                </c:pt>
                <c:pt idx="48">
                  <c:v>16</c:v>
                </c:pt>
                <c:pt idx="49">
                  <c:v>16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5-4249-87C3-155FF3E9FF0A}"/>
            </c:ext>
          </c:extLst>
        </c:ser>
        <c:ser>
          <c:idx val="2"/>
          <c:order val="2"/>
          <c:tx>
            <c:strRef>
              <c:f>Calendario!$F$1</c:f>
              <c:strCache>
                <c:ptCount val="1"/>
                <c:pt idx="0">
                  <c:v>C. calidad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Calendario!$A$2:$A$55</c:f>
              <c:numCache>
                <c:formatCode>m/d/yyyy</c:formatCode>
                <c:ptCount val="54"/>
                <c:pt idx="0">
                  <c:v>46281</c:v>
                </c:pt>
                <c:pt idx="1">
                  <c:v>46282</c:v>
                </c:pt>
                <c:pt idx="2">
                  <c:v>46283</c:v>
                </c:pt>
                <c:pt idx="3">
                  <c:v>46286</c:v>
                </c:pt>
                <c:pt idx="4">
                  <c:v>46287</c:v>
                </c:pt>
                <c:pt idx="5">
                  <c:v>46288</c:v>
                </c:pt>
                <c:pt idx="6">
                  <c:v>46289</c:v>
                </c:pt>
                <c:pt idx="7">
                  <c:v>46290</c:v>
                </c:pt>
                <c:pt idx="8">
                  <c:v>46293</c:v>
                </c:pt>
                <c:pt idx="9">
                  <c:v>46294</c:v>
                </c:pt>
                <c:pt idx="10">
                  <c:v>46295</c:v>
                </c:pt>
                <c:pt idx="11">
                  <c:v>46296</c:v>
                </c:pt>
                <c:pt idx="12">
                  <c:v>46297</c:v>
                </c:pt>
                <c:pt idx="13">
                  <c:v>46300</c:v>
                </c:pt>
                <c:pt idx="14">
                  <c:v>46301</c:v>
                </c:pt>
                <c:pt idx="15">
                  <c:v>46302</c:v>
                </c:pt>
                <c:pt idx="16">
                  <c:v>46303</c:v>
                </c:pt>
                <c:pt idx="17">
                  <c:v>46304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46314</c:v>
                </c:pt>
                <c:pt idx="24">
                  <c:v>46315</c:v>
                </c:pt>
                <c:pt idx="25">
                  <c:v>46316</c:v>
                </c:pt>
                <c:pt idx="26">
                  <c:v>46317</c:v>
                </c:pt>
                <c:pt idx="27">
                  <c:v>46318</c:v>
                </c:pt>
                <c:pt idx="28">
                  <c:v>46321</c:v>
                </c:pt>
                <c:pt idx="29">
                  <c:v>46322</c:v>
                </c:pt>
                <c:pt idx="30">
                  <c:v>46323</c:v>
                </c:pt>
                <c:pt idx="31">
                  <c:v>46324</c:v>
                </c:pt>
                <c:pt idx="32">
                  <c:v>46325</c:v>
                </c:pt>
                <c:pt idx="33">
                  <c:v>46328</c:v>
                </c:pt>
                <c:pt idx="34">
                  <c:v>46329</c:v>
                </c:pt>
                <c:pt idx="35">
                  <c:v>46330</c:v>
                </c:pt>
                <c:pt idx="36">
                  <c:v>46331</c:v>
                </c:pt>
                <c:pt idx="37">
                  <c:v>46332</c:v>
                </c:pt>
                <c:pt idx="38">
                  <c:v>46335</c:v>
                </c:pt>
                <c:pt idx="39">
                  <c:v>46336</c:v>
                </c:pt>
                <c:pt idx="40">
                  <c:v>46337</c:v>
                </c:pt>
                <c:pt idx="41">
                  <c:v>46338</c:v>
                </c:pt>
                <c:pt idx="42">
                  <c:v>46339</c:v>
                </c:pt>
                <c:pt idx="43">
                  <c:v>46342</c:v>
                </c:pt>
                <c:pt idx="44">
                  <c:v>46343</c:v>
                </c:pt>
                <c:pt idx="45">
                  <c:v>46344</c:v>
                </c:pt>
                <c:pt idx="46">
                  <c:v>46345</c:v>
                </c:pt>
                <c:pt idx="47">
                  <c:v>46346</c:v>
                </c:pt>
                <c:pt idx="48">
                  <c:v>46349</c:v>
                </c:pt>
                <c:pt idx="49">
                  <c:v>46350</c:v>
                </c:pt>
                <c:pt idx="50">
                  <c:v>46351</c:v>
                </c:pt>
                <c:pt idx="51">
                  <c:v>46352</c:v>
                </c:pt>
                <c:pt idx="52">
                  <c:v>46353</c:v>
                </c:pt>
                <c:pt idx="53">
                  <c:v>46356</c:v>
                </c:pt>
              </c:numCache>
            </c:numRef>
          </c:cat>
          <c:val>
            <c:numRef>
              <c:f>Calendario!$F$2:$F$55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18</c:v>
                </c:pt>
                <c:pt idx="29">
                  <c:v>16</c:v>
                </c:pt>
                <c:pt idx="30">
                  <c:v>16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18</c:v>
                </c:pt>
                <c:pt idx="39">
                  <c:v>16</c:v>
                </c:pt>
                <c:pt idx="40">
                  <c:v>16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18</c:v>
                </c:pt>
                <c:pt idx="50">
                  <c:v>16</c:v>
                </c:pt>
                <c:pt idx="51">
                  <c:v>16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55-4249-87C3-155FF3E9FF0A}"/>
            </c:ext>
          </c:extLst>
        </c:ser>
        <c:ser>
          <c:idx val="3"/>
          <c:order val="3"/>
          <c:tx>
            <c:strRef>
              <c:f>Calendario!$G$1</c:f>
              <c:strCache>
                <c:ptCount val="1"/>
                <c:pt idx="0">
                  <c:v>Virtual.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Calendario!$A$2:$A$55</c:f>
              <c:numCache>
                <c:formatCode>m/d/yyyy</c:formatCode>
                <c:ptCount val="54"/>
                <c:pt idx="0">
                  <c:v>46281</c:v>
                </c:pt>
                <c:pt idx="1">
                  <c:v>46282</c:v>
                </c:pt>
                <c:pt idx="2">
                  <c:v>46283</c:v>
                </c:pt>
                <c:pt idx="3">
                  <c:v>46286</c:v>
                </c:pt>
                <c:pt idx="4">
                  <c:v>46287</c:v>
                </c:pt>
                <c:pt idx="5">
                  <c:v>46288</c:v>
                </c:pt>
                <c:pt idx="6">
                  <c:v>46289</c:v>
                </c:pt>
                <c:pt idx="7">
                  <c:v>46290</c:v>
                </c:pt>
                <c:pt idx="8">
                  <c:v>46293</c:v>
                </c:pt>
                <c:pt idx="9">
                  <c:v>46294</c:v>
                </c:pt>
                <c:pt idx="10">
                  <c:v>46295</c:v>
                </c:pt>
                <c:pt idx="11">
                  <c:v>46296</c:v>
                </c:pt>
                <c:pt idx="12">
                  <c:v>46297</c:v>
                </c:pt>
                <c:pt idx="13">
                  <c:v>46300</c:v>
                </c:pt>
                <c:pt idx="14">
                  <c:v>46301</c:v>
                </c:pt>
                <c:pt idx="15">
                  <c:v>46302</c:v>
                </c:pt>
                <c:pt idx="16">
                  <c:v>46303</c:v>
                </c:pt>
                <c:pt idx="17">
                  <c:v>46304</c:v>
                </c:pt>
                <c:pt idx="18">
                  <c:v>46307</c:v>
                </c:pt>
                <c:pt idx="19">
                  <c:v>46308</c:v>
                </c:pt>
                <c:pt idx="20">
                  <c:v>46309</c:v>
                </c:pt>
                <c:pt idx="21">
                  <c:v>46310</c:v>
                </c:pt>
                <c:pt idx="22">
                  <c:v>46311</c:v>
                </c:pt>
                <c:pt idx="23">
                  <c:v>46314</c:v>
                </c:pt>
                <c:pt idx="24">
                  <c:v>46315</c:v>
                </c:pt>
                <c:pt idx="25">
                  <c:v>46316</c:v>
                </c:pt>
                <c:pt idx="26">
                  <c:v>46317</c:v>
                </c:pt>
                <c:pt idx="27">
                  <c:v>46318</c:v>
                </c:pt>
                <c:pt idx="28">
                  <c:v>46321</c:v>
                </c:pt>
                <c:pt idx="29">
                  <c:v>46322</c:v>
                </c:pt>
                <c:pt idx="30">
                  <c:v>46323</c:v>
                </c:pt>
                <c:pt idx="31">
                  <c:v>46324</c:v>
                </c:pt>
                <c:pt idx="32">
                  <c:v>46325</c:v>
                </c:pt>
                <c:pt idx="33">
                  <c:v>46328</c:v>
                </c:pt>
                <c:pt idx="34">
                  <c:v>46329</c:v>
                </c:pt>
                <c:pt idx="35">
                  <c:v>46330</c:v>
                </c:pt>
                <c:pt idx="36">
                  <c:v>46331</c:v>
                </c:pt>
                <c:pt idx="37">
                  <c:v>46332</c:v>
                </c:pt>
                <c:pt idx="38">
                  <c:v>46335</c:v>
                </c:pt>
                <c:pt idx="39">
                  <c:v>46336</c:v>
                </c:pt>
                <c:pt idx="40">
                  <c:v>46337</c:v>
                </c:pt>
                <c:pt idx="41">
                  <c:v>46338</c:v>
                </c:pt>
                <c:pt idx="42">
                  <c:v>46339</c:v>
                </c:pt>
                <c:pt idx="43">
                  <c:v>46342</c:v>
                </c:pt>
                <c:pt idx="44">
                  <c:v>46343</c:v>
                </c:pt>
                <c:pt idx="45">
                  <c:v>46344</c:v>
                </c:pt>
                <c:pt idx="46">
                  <c:v>46345</c:v>
                </c:pt>
                <c:pt idx="47">
                  <c:v>46346</c:v>
                </c:pt>
                <c:pt idx="48">
                  <c:v>46349</c:v>
                </c:pt>
                <c:pt idx="49">
                  <c:v>46350</c:v>
                </c:pt>
                <c:pt idx="50">
                  <c:v>46351</c:v>
                </c:pt>
                <c:pt idx="51">
                  <c:v>46352</c:v>
                </c:pt>
                <c:pt idx="52">
                  <c:v>46353</c:v>
                </c:pt>
                <c:pt idx="53">
                  <c:v>46356</c:v>
                </c:pt>
              </c:numCache>
            </c:numRef>
          </c:cat>
          <c:val>
            <c:numRef>
              <c:f>Calendario!$G$2:$G$55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10</c:v>
                </c:pt>
                <c:pt idx="18">
                  <c:v>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18</c:v>
                </c:pt>
                <c:pt idx="31">
                  <c:v>16</c:v>
                </c:pt>
                <c:pt idx="32">
                  <c:v>16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18</c:v>
                </c:pt>
                <c:pt idx="41">
                  <c:v>16</c:v>
                </c:pt>
                <c:pt idx="42">
                  <c:v>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18</c:v>
                </c:pt>
                <c:pt idx="52">
                  <c:v>16</c:v>
                </c:pt>
                <c:pt idx="5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55-4249-87C3-155FF3E9F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243771"/>
        <c:axId val="23775489"/>
      </c:barChart>
      <c:dateAx>
        <c:axId val="9824377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3775489"/>
        <c:crosses val="autoZero"/>
        <c:auto val="1"/>
        <c:lblOffset val="100"/>
        <c:baseTimeUnit val="days"/>
      </c:dateAx>
      <c:valAx>
        <c:axId val="23775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PAD-día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8243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175680</xdr:rowOff>
    </xdr:from>
    <xdr:to>
      <xdr:col>18</xdr:col>
      <xdr:colOff>375</xdr:colOff>
      <xdr:row>18</xdr:row>
      <xdr:rowOff>176760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176040</xdr:rowOff>
    </xdr:from>
    <xdr:to>
      <xdr:col>18</xdr:col>
      <xdr:colOff>375</xdr:colOff>
      <xdr:row>37</xdr:row>
      <xdr:rowOff>177120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5"/>
  <sheetViews>
    <sheetView showGridLines="0" topLeftCell="A24" zoomScaleNormal="100" workbookViewId="0"/>
  </sheetViews>
  <sheetFormatPr baseColWidth="10" defaultColWidth="8.5546875" defaultRowHeight="14.4" x14ac:dyDescent="0.3"/>
  <cols>
    <col min="1" max="1" width="3" customWidth="1"/>
    <col min="2" max="2" width="26" customWidth="1"/>
    <col min="3" max="7" width="16" customWidth="1"/>
    <col min="8" max="8" width="22" customWidth="1"/>
  </cols>
  <sheetData>
    <row r="2" spans="2:4" x14ac:dyDescent="0.3">
      <c r="B2" s="1" t="s">
        <v>0</v>
      </c>
    </row>
    <row r="3" spans="2:4" ht="21" x14ac:dyDescent="0.4">
      <c r="B3" s="2" t="s">
        <v>1</v>
      </c>
    </row>
    <row r="4" spans="2:4" x14ac:dyDescent="0.3">
      <c r="B4" s="3" t="s">
        <v>2</v>
      </c>
    </row>
    <row r="6" spans="2:4" x14ac:dyDescent="0.3">
      <c r="B6" s="1" t="s">
        <v>3</v>
      </c>
    </row>
    <row r="7" spans="2:4" x14ac:dyDescent="0.3">
      <c r="B7" s="4" t="s">
        <v>4</v>
      </c>
      <c r="C7" s="4" t="s">
        <v>5</v>
      </c>
      <c r="D7" s="4" t="s">
        <v>6</v>
      </c>
    </row>
    <row r="8" spans="2:4" x14ac:dyDescent="0.3">
      <c r="B8" s="5" t="s">
        <v>7</v>
      </c>
      <c r="C8" s="6">
        <f>Parámetros!C6</f>
        <v>200</v>
      </c>
      <c r="D8" s="7" t="s">
        <v>8</v>
      </c>
    </row>
    <row r="9" spans="2:4" x14ac:dyDescent="0.3">
      <c r="B9" s="5" t="s">
        <v>9</v>
      </c>
      <c r="C9" s="6">
        <f>Parámetros!C6/Parámetros!C7</f>
        <v>100</v>
      </c>
      <c r="D9" s="7" t="s">
        <v>8</v>
      </c>
    </row>
    <row r="10" spans="2:4" x14ac:dyDescent="0.3">
      <c r="B10" s="5" t="s">
        <v>10</v>
      </c>
      <c r="C10" s="6">
        <f>Parámetros!C9</f>
        <v>54</v>
      </c>
      <c r="D10" s="7" t="s">
        <v>11</v>
      </c>
    </row>
    <row r="11" spans="2:4" x14ac:dyDescent="0.3">
      <c r="B11" s="5" t="s">
        <v>12</v>
      </c>
      <c r="C11" s="6">
        <f>Parámetros!C9-Parámetros!C10</f>
        <v>3</v>
      </c>
      <c r="D11" s="7" t="s">
        <v>11</v>
      </c>
    </row>
    <row r="12" spans="2:4" x14ac:dyDescent="0.3">
      <c r="B12" s="5" t="s">
        <v>13</v>
      </c>
      <c r="C12" s="6">
        <f>Parámetros!C10</f>
        <v>51</v>
      </c>
      <c r="D12" s="7" t="s">
        <v>11</v>
      </c>
    </row>
    <row r="13" spans="2:4" x14ac:dyDescent="0.3">
      <c r="B13" s="5" t="s">
        <v>14</v>
      </c>
      <c r="C13" s="8">
        <f>ROUND(Parámetros!C6/Parámetros!C10,2)</f>
        <v>3.92</v>
      </c>
      <c r="D13" s="7" t="s">
        <v>15</v>
      </c>
    </row>
    <row r="14" spans="2:4" x14ac:dyDescent="0.3">
      <c r="B14" s="5" t="s">
        <v>16</v>
      </c>
      <c r="C14" s="6">
        <f>MAX(Calendario!I2:I55)</f>
        <v>34</v>
      </c>
      <c r="D14" s="7" t="s">
        <v>15</v>
      </c>
    </row>
    <row r="15" spans="2:4" x14ac:dyDescent="0.3">
      <c r="B15" s="5" t="s">
        <v>17</v>
      </c>
      <c r="C15" s="6">
        <f>SUM('Bitácora diaria'!H:H)</f>
        <v>126</v>
      </c>
      <c r="D15" s="7" t="s">
        <v>8</v>
      </c>
    </row>
    <row r="16" spans="2:4" x14ac:dyDescent="0.3">
      <c r="B16" s="5" t="s">
        <v>18</v>
      </c>
      <c r="C16" s="9">
        <f>IFERROR(SUM('Bitácora diaria'!H:H)/Parámetros!C6,0)</f>
        <v>0.63</v>
      </c>
      <c r="D16" s="7" t="s">
        <v>19</v>
      </c>
    </row>
    <row r="18" spans="2:8" x14ac:dyDescent="0.3">
      <c r="B18" s="1" t="s">
        <v>20</v>
      </c>
    </row>
    <row r="19" spans="2:8" x14ac:dyDescent="0.3">
      <c r="B19" s="4" t="s">
        <v>21</v>
      </c>
      <c r="C19" s="4" t="s">
        <v>22</v>
      </c>
      <c r="D19" s="4" t="s">
        <v>23</v>
      </c>
      <c r="E19" s="4" t="s">
        <v>24</v>
      </c>
      <c r="F19" s="4" t="s">
        <v>25</v>
      </c>
      <c r="G19" s="4" t="s">
        <v>26</v>
      </c>
      <c r="H19" s="4" t="s">
        <v>27</v>
      </c>
    </row>
    <row r="20" spans="2:8" x14ac:dyDescent="0.3">
      <c r="B20" s="10" t="s">
        <v>28</v>
      </c>
      <c r="C20" s="5" t="s">
        <v>29</v>
      </c>
      <c r="D20" s="11">
        <v>21</v>
      </c>
      <c r="E20" s="11">
        <f>SUMIFS(Lotes!G:G,Lotes!B:B,$B20,Lotes!D:D,"Juan Manuel")</f>
        <v>25</v>
      </c>
      <c r="F20" s="11">
        <f>SUMIFS(Lotes!G:G,Lotes!B:B,$B20,Lotes!D:D,"Juan Pablo")</f>
        <v>25</v>
      </c>
      <c r="G20" s="12">
        <f>SUM(E20:F20)</f>
        <v>50</v>
      </c>
      <c r="H20" s="11">
        <f>SUM($G$20:G20)</f>
        <v>50</v>
      </c>
    </row>
    <row r="21" spans="2:8" x14ac:dyDescent="0.3">
      <c r="B21" s="10" t="s">
        <v>30</v>
      </c>
      <c r="C21" s="5" t="s">
        <v>31</v>
      </c>
      <c r="D21" s="11">
        <v>11</v>
      </c>
      <c r="E21" s="11">
        <f>SUMIFS(Lotes!G:G,Lotes!B:B,$B21,Lotes!D:D,"Juan Manuel")</f>
        <v>25</v>
      </c>
      <c r="F21" s="11">
        <f>SUMIFS(Lotes!G:G,Lotes!B:B,$B21,Lotes!D:D,"Juan Pablo")</f>
        <v>25</v>
      </c>
      <c r="G21" s="12">
        <f>SUM(E21:F21)</f>
        <v>50</v>
      </c>
      <c r="H21" s="11">
        <f>SUM($G$20:G21)</f>
        <v>100</v>
      </c>
    </row>
    <row r="22" spans="2:8" x14ac:dyDescent="0.3">
      <c r="B22" s="10" t="s">
        <v>32</v>
      </c>
      <c r="C22" s="5" t="s">
        <v>33</v>
      </c>
      <c r="D22" s="11">
        <v>9</v>
      </c>
      <c r="E22" s="11">
        <f>SUMIFS(Lotes!G:G,Lotes!B:B,$B22,Lotes!D:D,"Juan Manuel")</f>
        <v>25</v>
      </c>
      <c r="F22" s="11">
        <f>SUMIFS(Lotes!G:G,Lotes!B:B,$B22,Lotes!D:D,"Juan Pablo")</f>
        <v>25</v>
      </c>
      <c r="G22" s="12">
        <f>SUM(E22:F22)</f>
        <v>50</v>
      </c>
      <c r="H22" s="11">
        <f>SUM($G$20:G22)</f>
        <v>150</v>
      </c>
    </row>
    <row r="23" spans="2:8" x14ac:dyDescent="0.3">
      <c r="B23" s="10" t="s">
        <v>34</v>
      </c>
      <c r="C23" s="5" t="s">
        <v>35</v>
      </c>
      <c r="D23" s="11">
        <v>10</v>
      </c>
      <c r="E23" s="11">
        <f>SUMIFS(Lotes!G:G,Lotes!B:B,$B23,Lotes!D:D,"Juan Manuel")</f>
        <v>25</v>
      </c>
      <c r="F23" s="11">
        <f>SUMIFS(Lotes!G:G,Lotes!B:B,$B23,Lotes!D:D,"Juan Pablo")</f>
        <v>25</v>
      </c>
      <c r="G23" s="12">
        <f>SUM(E23:F23)</f>
        <v>50</v>
      </c>
      <c r="H23" s="11">
        <f>SUM($G$20:G23)</f>
        <v>200</v>
      </c>
    </row>
    <row r="24" spans="2:8" x14ac:dyDescent="0.3">
      <c r="B24" s="13" t="s">
        <v>36</v>
      </c>
      <c r="C24" s="14"/>
      <c r="D24" s="15">
        <f>SUM(D20:D23)</f>
        <v>51</v>
      </c>
      <c r="E24" s="15">
        <f>SUM(E20:E23)</f>
        <v>100</v>
      </c>
      <c r="F24" s="15">
        <f>SUM(F20:F23)</f>
        <v>100</v>
      </c>
      <c r="G24" s="15">
        <f>SUM(G20:G23)</f>
        <v>200</v>
      </c>
      <c r="H24" s="14"/>
    </row>
    <row r="27" spans="2:8" x14ac:dyDescent="0.3">
      <c r="B27" s="1" t="s">
        <v>37</v>
      </c>
    </row>
    <row r="28" spans="2:8" x14ac:dyDescent="0.3">
      <c r="B28" s="4" t="s">
        <v>38</v>
      </c>
      <c r="C28" s="4" t="s">
        <v>24</v>
      </c>
      <c r="D28" s="4" t="s">
        <v>25</v>
      </c>
      <c r="E28" s="4" t="s">
        <v>39</v>
      </c>
    </row>
    <row r="29" spans="2:8" x14ac:dyDescent="0.3">
      <c r="B29" s="16" t="s">
        <v>40</v>
      </c>
      <c r="C29" s="11">
        <f>SUMIFS('Bitácora diaria'!G:G,'Bitácora diaria'!F:F,$B29,'Bitácora diaria'!D:D,"Juan Manuel")</f>
        <v>100</v>
      </c>
      <c r="D29" s="11">
        <f>SUMIFS('Bitácora diaria'!G:G,'Bitácora diaria'!F:F,$B29,'Bitácora diaria'!D:D,"Juan Pablo")</f>
        <v>100</v>
      </c>
      <c r="E29" s="12">
        <f>SUM(C29:D29)</f>
        <v>200</v>
      </c>
    </row>
    <row r="30" spans="2:8" x14ac:dyDescent="0.3">
      <c r="B30" s="17" t="s">
        <v>41</v>
      </c>
      <c r="C30" s="11">
        <f>SUMIFS('Bitácora diaria'!G:G,'Bitácora diaria'!F:F,$B30,'Bitácora diaria'!D:D,"Juan Manuel")</f>
        <v>100</v>
      </c>
      <c r="D30" s="11">
        <f>SUMIFS('Bitácora diaria'!G:G,'Bitácora diaria'!F:F,$B30,'Bitácora diaria'!D:D,"Juan Pablo")</f>
        <v>100</v>
      </c>
      <c r="E30" s="12">
        <f>SUM(C30:D30)</f>
        <v>200</v>
      </c>
    </row>
    <row r="31" spans="2:8" x14ac:dyDescent="0.3">
      <c r="B31" s="18" t="s">
        <v>42</v>
      </c>
      <c r="C31" s="11">
        <f>SUMIFS('Bitácora diaria'!G:G,'Bitácora diaria'!F:F,$B31,'Bitácora diaria'!D:D,"Juan Manuel")</f>
        <v>100</v>
      </c>
      <c r="D31" s="11">
        <f>SUMIFS('Bitácora diaria'!G:G,'Bitácora diaria'!F:F,$B31,'Bitácora diaria'!D:D,"Juan Pablo")</f>
        <v>100</v>
      </c>
      <c r="E31" s="12">
        <f>SUM(C31:D31)</f>
        <v>200</v>
      </c>
    </row>
    <row r="32" spans="2:8" x14ac:dyDescent="0.3">
      <c r="B32" s="19" t="s">
        <v>43</v>
      </c>
      <c r="C32" s="11">
        <f>SUMIFS('Bitácora diaria'!G:G,'Bitácora diaria'!F:F,$B32,'Bitácora diaria'!D:D,"Juan Manuel")</f>
        <v>100</v>
      </c>
      <c r="D32" s="11">
        <f>SUMIFS('Bitácora diaria'!G:G,'Bitácora diaria'!F:F,$B32,'Bitácora diaria'!D:D,"Juan Pablo")</f>
        <v>100</v>
      </c>
      <c r="E32" s="12">
        <f>SUM(C32:D32)</f>
        <v>200</v>
      </c>
    </row>
    <row r="35" spans="2:2" x14ac:dyDescent="0.3">
      <c r="B35" s="20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6"/>
  <sheetViews>
    <sheetView showGridLines="0" zoomScaleNormal="100" workbookViewId="0"/>
  </sheetViews>
  <sheetFormatPr baseColWidth="10" defaultColWidth="8.5546875" defaultRowHeight="14.4" x14ac:dyDescent="0.3"/>
  <cols>
    <col min="1" max="1" width="3" customWidth="1"/>
    <col min="2" max="2" width="34" customWidth="1"/>
    <col min="3" max="3" width="16" customWidth="1"/>
    <col min="4" max="4" width="30" customWidth="1"/>
    <col min="5" max="5" width="28" customWidth="1"/>
  </cols>
  <sheetData>
    <row r="2" spans="2:4" ht="16.8" x14ac:dyDescent="0.3">
      <c r="B2" s="21" t="s">
        <v>45</v>
      </c>
    </row>
    <row r="3" spans="2:4" x14ac:dyDescent="0.3">
      <c r="B3" s="4" t="s">
        <v>46</v>
      </c>
      <c r="C3" s="4" t="s">
        <v>5</v>
      </c>
      <c r="D3" s="4" t="s">
        <v>47</v>
      </c>
    </row>
    <row r="4" spans="2:4" x14ac:dyDescent="0.3">
      <c r="B4" s="5" t="s">
        <v>48</v>
      </c>
      <c r="C4" s="22">
        <v>46281</v>
      </c>
      <c r="D4" s="7" t="s">
        <v>49</v>
      </c>
    </row>
    <row r="5" spans="2:4" x14ac:dyDescent="0.3">
      <c r="B5" s="5" t="s">
        <v>50</v>
      </c>
      <c r="C5" s="22">
        <v>46356</v>
      </c>
      <c r="D5" s="7" t="s">
        <v>51</v>
      </c>
    </row>
    <row r="6" spans="2:4" x14ac:dyDescent="0.3">
      <c r="B6" s="5" t="s">
        <v>52</v>
      </c>
      <c r="C6" s="23">
        <v>200</v>
      </c>
      <c r="D6" s="7" t="s">
        <v>53</v>
      </c>
    </row>
    <row r="7" spans="2:4" x14ac:dyDescent="0.3">
      <c r="B7" s="5" t="s">
        <v>54</v>
      </c>
      <c r="C7" s="23">
        <v>2</v>
      </c>
      <c r="D7" s="7" t="s">
        <v>55</v>
      </c>
    </row>
    <row r="8" spans="2:4" x14ac:dyDescent="0.3">
      <c r="B8" s="5" t="s">
        <v>56</v>
      </c>
      <c r="C8" s="23" t="s">
        <v>57</v>
      </c>
      <c r="D8" s="7" t="s">
        <v>58</v>
      </c>
    </row>
    <row r="9" spans="2:4" x14ac:dyDescent="0.3">
      <c r="B9" s="5" t="s">
        <v>10</v>
      </c>
      <c r="C9" s="23">
        <v>54</v>
      </c>
      <c r="D9" s="7" t="s">
        <v>59</v>
      </c>
    </row>
    <row r="10" spans="2:4" x14ac:dyDescent="0.3">
      <c r="B10" s="5" t="s">
        <v>13</v>
      </c>
      <c r="C10" s="23">
        <v>51</v>
      </c>
      <c r="D10" s="7" t="s">
        <v>60</v>
      </c>
    </row>
    <row r="11" spans="2:4" x14ac:dyDescent="0.3">
      <c r="B11" s="5" t="s">
        <v>61</v>
      </c>
      <c r="C11" s="23">
        <v>4</v>
      </c>
      <c r="D11" s="7" t="s">
        <v>62</v>
      </c>
    </row>
    <row r="12" spans="2:4" x14ac:dyDescent="0.3">
      <c r="B12" s="5" t="s">
        <v>63</v>
      </c>
      <c r="C12" s="23">
        <v>1</v>
      </c>
      <c r="D12" s="7" t="s">
        <v>64</v>
      </c>
    </row>
    <row r="14" spans="2:4" x14ac:dyDescent="0.3">
      <c r="B14" s="24" t="s">
        <v>65</v>
      </c>
    </row>
    <row r="15" spans="2:4" x14ac:dyDescent="0.3">
      <c r="B15" s="25" t="s">
        <v>66</v>
      </c>
      <c r="C15" s="25" t="s">
        <v>67</v>
      </c>
      <c r="D15" s="25" t="s">
        <v>68</v>
      </c>
    </row>
    <row r="16" spans="2:4" x14ac:dyDescent="0.3">
      <c r="B16" s="26">
        <v>46307</v>
      </c>
      <c r="C16" s="5" t="s">
        <v>69</v>
      </c>
      <c r="D16" s="5" t="s">
        <v>70</v>
      </c>
    </row>
    <row r="17" spans="2:5" x14ac:dyDescent="0.3">
      <c r="B17" s="26">
        <v>46328</v>
      </c>
      <c r="C17" s="5" t="s">
        <v>69</v>
      </c>
      <c r="D17" s="5" t="s">
        <v>71</v>
      </c>
    </row>
    <row r="18" spans="2:5" x14ac:dyDescent="0.3">
      <c r="B18" s="26">
        <v>46342</v>
      </c>
      <c r="C18" s="5" t="s">
        <v>69</v>
      </c>
      <c r="D18" s="5" t="s">
        <v>72</v>
      </c>
    </row>
    <row r="21" spans="2:5" x14ac:dyDescent="0.3">
      <c r="B21" s="24" t="s">
        <v>73</v>
      </c>
    </row>
    <row r="22" spans="2:5" x14ac:dyDescent="0.3">
      <c r="B22" s="160" t="s">
        <v>74</v>
      </c>
      <c r="C22" s="160"/>
      <c r="D22" s="160"/>
      <c r="E22" s="160"/>
    </row>
    <row r="23" spans="2:5" x14ac:dyDescent="0.3">
      <c r="B23" s="160" t="s">
        <v>75</v>
      </c>
      <c r="C23" s="160"/>
      <c r="D23" s="160"/>
      <c r="E23" s="160"/>
    </row>
    <row r="24" spans="2:5" x14ac:dyDescent="0.3">
      <c r="B24" s="160" t="s">
        <v>76</v>
      </c>
      <c r="C24" s="160"/>
      <c r="D24" s="160"/>
      <c r="E24" s="160"/>
    </row>
    <row r="25" spans="2:5" x14ac:dyDescent="0.3">
      <c r="B25" s="160" t="s">
        <v>77</v>
      </c>
      <c r="C25" s="160"/>
      <c r="D25" s="160"/>
      <c r="E25" s="160"/>
    </row>
    <row r="26" spans="2:5" x14ac:dyDescent="0.3">
      <c r="B26" s="160" t="s">
        <v>78</v>
      </c>
      <c r="C26" s="160"/>
      <c r="D26" s="160"/>
      <c r="E26" s="160"/>
    </row>
  </sheetData>
  <mergeCells count="5">
    <mergeCell ref="B22:E22"/>
    <mergeCell ref="B23:E23"/>
    <mergeCell ref="B24:E24"/>
    <mergeCell ref="B25:E25"/>
    <mergeCell ref="B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9"/>
  <sheetViews>
    <sheetView showGridLines="0" zoomScaleNormal="100" workbookViewId="0">
      <pane ySplit="1" topLeftCell="A4" activePane="bottomLeft" state="frozen"/>
      <selection pane="bottomLeft" activeCell="I41" sqref="I41"/>
    </sheetView>
  </sheetViews>
  <sheetFormatPr baseColWidth="10" defaultColWidth="8.5546875" defaultRowHeight="14.4" x14ac:dyDescent="0.3"/>
  <cols>
    <col min="1" max="1" width="12" customWidth="1"/>
    <col min="2" max="2" width="11" customWidth="1"/>
    <col min="3" max="3" width="9" customWidth="1"/>
    <col min="4" max="4" width="15" customWidth="1"/>
    <col min="5" max="5" width="10" customWidth="1"/>
    <col min="6" max="6" width="20" customWidth="1"/>
    <col min="7" max="9" width="9" customWidth="1"/>
    <col min="10" max="10" width="26" customWidth="1"/>
  </cols>
  <sheetData>
    <row r="1" spans="1:10" ht="21.75" customHeight="1" x14ac:dyDescent="0.3">
      <c r="A1" s="27" t="s">
        <v>66</v>
      </c>
      <c r="B1" s="27" t="s">
        <v>67</v>
      </c>
      <c r="C1" s="27" t="s">
        <v>79</v>
      </c>
      <c r="D1" s="27" t="s">
        <v>80</v>
      </c>
      <c r="E1" s="27" t="s">
        <v>21</v>
      </c>
      <c r="F1" s="27" t="s">
        <v>81</v>
      </c>
      <c r="G1" s="27" t="s">
        <v>82</v>
      </c>
      <c r="H1" s="27" t="s">
        <v>83</v>
      </c>
      <c r="I1" s="27" t="s">
        <v>84</v>
      </c>
      <c r="J1" s="27" t="s">
        <v>85</v>
      </c>
    </row>
    <row r="2" spans="1:10" x14ac:dyDescent="0.3">
      <c r="A2" s="26">
        <v>46281</v>
      </c>
      <c r="B2" s="5" t="s">
        <v>86</v>
      </c>
      <c r="C2" s="5">
        <v>38</v>
      </c>
      <c r="D2" s="5" t="s">
        <v>24</v>
      </c>
      <c r="E2" s="5" t="s">
        <v>28</v>
      </c>
      <c r="F2" s="28" t="s">
        <v>40</v>
      </c>
      <c r="G2" s="11">
        <v>4</v>
      </c>
      <c r="H2" s="29">
        <v>0</v>
      </c>
      <c r="I2" s="11">
        <f t="shared" ref="I2:I33" si="0">IF(H2="","",H2-G2)</f>
        <v>-4</v>
      </c>
      <c r="J2" s="30" t="s">
        <v>87</v>
      </c>
    </row>
    <row r="3" spans="1:10" x14ac:dyDescent="0.3">
      <c r="A3" s="26">
        <v>46281</v>
      </c>
      <c r="B3" s="5" t="s">
        <v>86</v>
      </c>
      <c r="C3" s="5">
        <v>38</v>
      </c>
      <c r="D3" s="5" t="s">
        <v>25</v>
      </c>
      <c r="E3" s="5" t="s">
        <v>28</v>
      </c>
      <c r="F3" s="28" t="s">
        <v>40</v>
      </c>
      <c r="G3" s="11">
        <v>4</v>
      </c>
      <c r="H3" s="29">
        <v>0</v>
      </c>
      <c r="I3" s="11">
        <f t="shared" si="0"/>
        <v>-4</v>
      </c>
      <c r="J3" s="5"/>
    </row>
    <row r="4" spans="1:10" x14ac:dyDescent="0.3">
      <c r="A4" s="26">
        <v>46282</v>
      </c>
      <c r="B4" s="5" t="s">
        <v>88</v>
      </c>
      <c r="C4" s="5">
        <v>38</v>
      </c>
      <c r="D4" s="5" t="s">
        <v>24</v>
      </c>
      <c r="E4" s="5" t="s">
        <v>28</v>
      </c>
      <c r="F4" s="28" t="s">
        <v>40</v>
      </c>
      <c r="G4" s="11">
        <v>4</v>
      </c>
      <c r="H4" s="29">
        <v>0</v>
      </c>
      <c r="I4" s="11">
        <f t="shared" si="0"/>
        <v>-4</v>
      </c>
      <c r="J4" s="5"/>
    </row>
    <row r="5" spans="1:10" x14ac:dyDescent="0.3">
      <c r="A5" s="26">
        <v>46282</v>
      </c>
      <c r="B5" s="5" t="s">
        <v>88</v>
      </c>
      <c r="C5" s="5">
        <v>38</v>
      </c>
      <c r="D5" s="5" t="s">
        <v>25</v>
      </c>
      <c r="E5" s="5" t="s">
        <v>28</v>
      </c>
      <c r="F5" s="28" t="s">
        <v>40</v>
      </c>
      <c r="G5" s="11">
        <v>4</v>
      </c>
      <c r="H5" s="29">
        <v>0</v>
      </c>
      <c r="I5" s="11">
        <f t="shared" si="0"/>
        <v>-4</v>
      </c>
      <c r="J5" s="5"/>
    </row>
    <row r="6" spans="1:10" x14ac:dyDescent="0.3">
      <c r="A6" s="26">
        <v>46283</v>
      </c>
      <c r="B6" s="5" t="s">
        <v>89</v>
      </c>
      <c r="C6" s="5">
        <v>38</v>
      </c>
      <c r="D6" s="5" t="s">
        <v>24</v>
      </c>
      <c r="E6" s="5" t="s">
        <v>28</v>
      </c>
      <c r="F6" s="28" t="s">
        <v>40</v>
      </c>
      <c r="G6" s="11">
        <v>4</v>
      </c>
      <c r="H6" s="29">
        <v>0</v>
      </c>
      <c r="I6" s="11">
        <f t="shared" si="0"/>
        <v>-4</v>
      </c>
      <c r="J6" s="5"/>
    </row>
    <row r="7" spans="1:10" x14ac:dyDescent="0.3">
      <c r="A7" s="26">
        <v>46283</v>
      </c>
      <c r="B7" s="5" t="s">
        <v>89</v>
      </c>
      <c r="C7" s="5">
        <v>38</v>
      </c>
      <c r="D7" s="5" t="s">
        <v>25</v>
      </c>
      <c r="E7" s="5" t="s">
        <v>28</v>
      </c>
      <c r="F7" s="28" t="s">
        <v>40</v>
      </c>
      <c r="G7" s="11">
        <v>4</v>
      </c>
      <c r="H7" s="29">
        <v>0</v>
      </c>
      <c r="I7" s="11">
        <f t="shared" si="0"/>
        <v>-4</v>
      </c>
      <c r="J7" s="5"/>
    </row>
    <row r="8" spans="1:10" x14ac:dyDescent="0.3">
      <c r="A8" s="26">
        <v>46286</v>
      </c>
      <c r="B8" s="5" t="s">
        <v>69</v>
      </c>
      <c r="C8" s="5">
        <v>39</v>
      </c>
      <c r="D8" s="5" t="s">
        <v>24</v>
      </c>
      <c r="E8" s="5" t="s">
        <v>28</v>
      </c>
      <c r="F8" s="28" t="s">
        <v>40</v>
      </c>
      <c r="G8" s="11">
        <v>4</v>
      </c>
      <c r="H8" s="29">
        <v>0</v>
      </c>
      <c r="I8" s="11">
        <f t="shared" si="0"/>
        <v>-4</v>
      </c>
      <c r="J8" s="5"/>
    </row>
    <row r="9" spans="1:10" x14ac:dyDescent="0.3">
      <c r="A9" s="26">
        <v>46286</v>
      </c>
      <c r="B9" s="5" t="s">
        <v>69</v>
      </c>
      <c r="C9" s="5">
        <v>39</v>
      </c>
      <c r="D9" s="5" t="s">
        <v>25</v>
      </c>
      <c r="E9" s="5" t="s">
        <v>28</v>
      </c>
      <c r="F9" s="28" t="s">
        <v>40</v>
      </c>
      <c r="G9" s="11">
        <v>4</v>
      </c>
      <c r="H9" s="29">
        <v>0</v>
      </c>
      <c r="I9" s="11">
        <f t="shared" si="0"/>
        <v>-4</v>
      </c>
      <c r="J9" s="5"/>
    </row>
    <row r="10" spans="1:10" x14ac:dyDescent="0.3">
      <c r="A10" s="26">
        <v>46287</v>
      </c>
      <c r="B10" s="5" t="s">
        <v>90</v>
      </c>
      <c r="C10" s="5">
        <v>39</v>
      </c>
      <c r="D10" s="5" t="s">
        <v>24</v>
      </c>
      <c r="E10" s="5" t="s">
        <v>28</v>
      </c>
      <c r="F10" s="28" t="s">
        <v>40</v>
      </c>
      <c r="G10" s="11">
        <v>3</v>
      </c>
      <c r="H10" s="29">
        <v>0</v>
      </c>
      <c r="I10" s="11">
        <f t="shared" si="0"/>
        <v>-3</v>
      </c>
      <c r="J10" s="5"/>
    </row>
    <row r="11" spans="1:10" x14ac:dyDescent="0.3">
      <c r="A11" s="26">
        <v>46287</v>
      </c>
      <c r="B11" s="5" t="s">
        <v>90</v>
      </c>
      <c r="C11" s="5">
        <v>39</v>
      </c>
      <c r="D11" s="5" t="s">
        <v>25</v>
      </c>
      <c r="E11" s="5" t="s">
        <v>28</v>
      </c>
      <c r="F11" s="28" t="s">
        <v>40</v>
      </c>
      <c r="G11" s="11">
        <v>3</v>
      </c>
      <c r="H11" s="29">
        <v>0</v>
      </c>
      <c r="I11" s="11">
        <f t="shared" si="0"/>
        <v>-3</v>
      </c>
      <c r="J11" s="5"/>
    </row>
    <row r="12" spans="1:10" x14ac:dyDescent="0.3">
      <c r="A12" s="26">
        <v>46288</v>
      </c>
      <c r="B12" s="5" t="s">
        <v>86</v>
      </c>
      <c r="C12" s="5">
        <v>39</v>
      </c>
      <c r="D12" s="5" t="s">
        <v>24</v>
      </c>
      <c r="E12" s="5" t="s">
        <v>28</v>
      </c>
      <c r="F12" s="28" t="s">
        <v>40</v>
      </c>
      <c r="G12" s="11">
        <v>3</v>
      </c>
      <c r="H12" s="29">
        <v>0</v>
      </c>
      <c r="I12" s="11">
        <f t="shared" si="0"/>
        <v>-3</v>
      </c>
      <c r="J12" s="5"/>
    </row>
    <row r="13" spans="1:10" x14ac:dyDescent="0.3">
      <c r="A13" s="26">
        <v>46288</v>
      </c>
      <c r="B13" s="5" t="s">
        <v>86</v>
      </c>
      <c r="C13" s="5">
        <v>39</v>
      </c>
      <c r="D13" s="5" t="s">
        <v>25</v>
      </c>
      <c r="E13" s="5" t="s">
        <v>28</v>
      </c>
      <c r="F13" s="28" t="s">
        <v>40</v>
      </c>
      <c r="G13" s="11">
        <v>3</v>
      </c>
      <c r="H13" s="29">
        <v>0</v>
      </c>
      <c r="I13" s="11">
        <f t="shared" si="0"/>
        <v>-3</v>
      </c>
      <c r="J13" s="5"/>
    </row>
    <row r="14" spans="1:10" x14ac:dyDescent="0.3">
      <c r="A14" s="26">
        <v>46289</v>
      </c>
      <c r="B14" s="5" t="s">
        <v>88</v>
      </c>
      <c r="C14" s="5">
        <v>39</v>
      </c>
      <c r="D14" s="5" t="s">
        <v>24</v>
      </c>
      <c r="E14" s="5" t="s">
        <v>28</v>
      </c>
      <c r="F14" s="28" t="s">
        <v>40</v>
      </c>
      <c r="G14" s="11">
        <v>3</v>
      </c>
      <c r="H14" s="29">
        <v>0</v>
      </c>
      <c r="I14" s="11">
        <f t="shared" si="0"/>
        <v>-3</v>
      </c>
      <c r="J14" s="5"/>
    </row>
    <row r="15" spans="1:10" x14ac:dyDescent="0.3">
      <c r="A15" s="26">
        <v>46289</v>
      </c>
      <c r="B15" s="5" t="s">
        <v>88</v>
      </c>
      <c r="C15" s="5">
        <v>39</v>
      </c>
      <c r="D15" s="5" t="s">
        <v>24</v>
      </c>
      <c r="E15" s="5" t="s">
        <v>28</v>
      </c>
      <c r="F15" s="31" t="s">
        <v>41</v>
      </c>
      <c r="G15" s="11">
        <v>5</v>
      </c>
      <c r="H15" s="29">
        <v>0</v>
      </c>
      <c r="I15" s="11">
        <f t="shared" si="0"/>
        <v>-5</v>
      </c>
      <c r="J15" s="5"/>
    </row>
    <row r="16" spans="1:10" x14ac:dyDescent="0.3">
      <c r="A16" s="26">
        <v>46289</v>
      </c>
      <c r="B16" s="5" t="s">
        <v>88</v>
      </c>
      <c r="C16" s="5">
        <v>39</v>
      </c>
      <c r="D16" s="5" t="s">
        <v>25</v>
      </c>
      <c r="E16" s="5" t="s">
        <v>28</v>
      </c>
      <c r="F16" s="28" t="s">
        <v>40</v>
      </c>
      <c r="G16" s="11">
        <v>3</v>
      </c>
      <c r="H16" s="29">
        <v>63</v>
      </c>
      <c r="I16" s="11">
        <f t="shared" si="0"/>
        <v>60</v>
      </c>
      <c r="J16" s="5"/>
    </row>
    <row r="17" spans="1:10" x14ac:dyDescent="0.3">
      <c r="A17" s="26">
        <v>46289</v>
      </c>
      <c r="B17" s="5" t="s">
        <v>88</v>
      </c>
      <c r="C17" s="5">
        <v>39</v>
      </c>
      <c r="D17" s="5" t="s">
        <v>25</v>
      </c>
      <c r="E17" s="5" t="s">
        <v>28</v>
      </c>
      <c r="F17" s="31" t="s">
        <v>41</v>
      </c>
      <c r="G17" s="11">
        <v>5</v>
      </c>
      <c r="H17" s="29">
        <v>0</v>
      </c>
      <c r="I17" s="11">
        <f t="shared" si="0"/>
        <v>-5</v>
      </c>
      <c r="J17" s="5"/>
    </row>
    <row r="18" spans="1:10" x14ac:dyDescent="0.3">
      <c r="A18" s="26">
        <v>46290</v>
      </c>
      <c r="B18" s="5" t="s">
        <v>89</v>
      </c>
      <c r="C18" s="5">
        <v>39</v>
      </c>
      <c r="D18" s="5" t="s">
        <v>24</v>
      </c>
      <c r="E18" s="5" t="s">
        <v>28</v>
      </c>
      <c r="F18" s="31" t="s">
        <v>41</v>
      </c>
      <c r="G18" s="11">
        <v>4</v>
      </c>
      <c r="H18" s="29">
        <v>0</v>
      </c>
      <c r="I18" s="11">
        <f t="shared" si="0"/>
        <v>-4</v>
      </c>
      <c r="J18" s="5"/>
    </row>
    <row r="19" spans="1:10" x14ac:dyDescent="0.3">
      <c r="A19" s="26">
        <v>46290</v>
      </c>
      <c r="B19" s="5" t="s">
        <v>89</v>
      </c>
      <c r="C19" s="5">
        <v>39</v>
      </c>
      <c r="D19" s="5" t="s">
        <v>25</v>
      </c>
      <c r="E19" s="5" t="s">
        <v>28</v>
      </c>
      <c r="F19" s="31" t="s">
        <v>41</v>
      </c>
      <c r="G19" s="11">
        <v>4</v>
      </c>
      <c r="H19" s="29">
        <v>0</v>
      </c>
      <c r="I19" s="11">
        <f t="shared" si="0"/>
        <v>-4</v>
      </c>
      <c r="J19" s="5"/>
    </row>
    <row r="20" spans="1:10" x14ac:dyDescent="0.3">
      <c r="A20" s="26">
        <v>46293</v>
      </c>
      <c r="B20" s="5" t="s">
        <v>69</v>
      </c>
      <c r="C20" s="5">
        <v>40</v>
      </c>
      <c r="D20" s="5" t="s">
        <v>24</v>
      </c>
      <c r="E20" s="5" t="s">
        <v>28</v>
      </c>
      <c r="F20" s="31" t="s">
        <v>41</v>
      </c>
      <c r="G20" s="11">
        <v>4</v>
      </c>
      <c r="H20" s="29">
        <v>0</v>
      </c>
      <c r="I20" s="11">
        <f t="shared" si="0"/>
        <v>-4</v>
      </c>
      <c r="J20" s="5"/>
    </row>
    <row r="21" spans="1:10" x14ac:dyDescent="0.3">
      <c r="A21" s="26">
        <v>46293</v>
      </c>
      <c r="B21" s="5" t="s">
        <v>69</v>
      </c>
      <c r="C21" s="5">
        <v>40</v>
      </c>
      <c r="D21" s="5" t="s">
        <v>25</v>
      </c>
      <c r="E21" s="5" t="s">
        <v>28</v>
      </c>
      <c r="F21" s="31" t="s">
        <v>41</v>
      </c>
      <c r="G21" s="11">
        <v>4</v>
      </c>
      <c r="H21" s="29">
        <v>0</v>
      </c>
      <c r="I21" s="11">
        <f>IF(H21="","",H21-G21)</f>
        <v>-4</v>
      </c>
      <c r="J21" s="5"/>
    </row>
    <row r="22" spans="1:10" x14ac:dyDescent="0.3">
      <c r="A22" s="26">
        <v>46294</v>
      </c>
      <c r="B22" s="5" t="s">
        <v>90</v>
      </c>
      <c r="C22" s="5">
        <v>40</v>
      </c>
      <c r="D22" s="5" t="s">
        <v>24</v>
      </c>
      <c r="E22" s="5" t="s">
        <v>28</v>
      </c>
      <c r="F22" s="31" t="s">
        <v>41</v>
      </c>
      <c r="G22" s="11">
        <v>4</v>
      </c>
      <c r="H22" s="29">
        <v>0</v>
      </c>
      <c r="I22" s="11">
        <f t="shared" si="0"/>
        <v>-4</v>
      </c>
      <c r="J22" s="5"/>
    </row>
    <row r="23" spans="1:10" x14ac:dyDescent="0.3">
      <c r="A23" s="26">
        <v>46294</v>
      </c>
      <c r="B23" s="5" t="s">
        <v>90</v>
      </c>
      <c r="C23" s="5">
        <v>40</v>
      </c>
      <c r="D23" s="5" t="s">
        <v>25</v>
      </c>
      <c r="E23" s="5" t="s">
        <v>28</v>
      </c>
      <c r="F23" s="31" t="s">
        <v>41</v>
      </c>
      <c r="G23" s="11">
        <v>4</v>
      </c>
      <c r="H23" s="29">
        <v>0</v>
      </c>
      <c r="I23" s="11">
        <f t="shared" si="0"/>
        <v>-4</v>
      </c>
      <c r="J23" s="5"/>
    </row>
    <row r="24" spans="1:10" x14ac:dyDescent="0.3">
      <c r="A24" s="26">
        <v>46295</v>
      </c>
      <c r="B24" s="5" t="s">
        <v>86</v>
      </c>
      <c r="C24" s="5">
        <v>40</v>
      </c>
      <c r="D24" s="5" t="s">
        <v>24</v>
      </c>
      <c r="E24" s="5" t="s">
        <v>28</v>
      </c>
      <c r="F24" s="31" t="s">
        <v>41</v>
      </c>
      <c r="G24" s="11">
        <v>4</v>
      </c>
      <c r="H24" s="29">
        <v>0</v>
      </c>
      <c r="I24" s="11">
        <f t="shared" si="0"/>
        <v>-4</v>
      </c>
      <c r="J24" s="5"/>
    </row>
    <row r="25" spans="1:10" x14ac:dyDescent="0.3">
      <c r="A25" s="26">
        <v>46295</v>
      </c>
      <c r="B25" s="5" t="s">
        <v>86</v>
      </c>
      <c r="C25" s="5">
        <v>40</v>
      </c>
      <c r="D25" s="5" t="s">
        <v>25</v>
      </c>
      <c r="E25" s="5" t="s">
        <v>28</v>
      </c>
      <c r="F25" s="31" t="s">
        <v>41</v>
      </c>
      <c r="G25" s="11">
        <v>4</v>
      </c>
      <c r="H25" s="29">
        <v>0</v>
      </c>
      <c r="I25" s="11">
        <f t="shared" si="0"/>
        <v>-4</v>
      </c>
      <c r="J25" s="5"/>
    </row>
    <row r="26" spans="1:10" x14ac:dyDescent="0.3">
      <c r="A26" s="26">
        <v>46296</v>
      </c>
      <c r="B26" s="5" t="s">
        <v>88</v>
      </c>
      <c r="C26" s="5">
        <v>40</v>
      </c>
      <c r="D26" s="5" t="s">
        <v>24</v>
      </c>
      <c r="E26" s="5" t="s">
        <v>28</v>
      </c>
      <c r="F26" s="31" t="s">
        <v>41</v>
      </c>
      <c r="G26" s="11">
        <v>4</v>
      </c>
      <c r="H26" s="29">
        <v>0</v>
      </c>
      <c r="I26" s="11">
        <f t="shared" si="0"/>
        <v>-4</v>
      </c>
      <c r="J26" s="5"/>
    </row>
    <row r="27" spans="1:10" x14ac:dyDescent="0.3">
      <c r="A27" s="26">
        <v>46296</v>
      </c>
      <c r="B27" s="5" t="s">
        <v>88</v>
      </c>
      <c r="C27" s="5">
        <v>40</v>
      </c>
      <c r="D27" s="5" t="s">
        <v>24</v>
      </c>
      <c r="E27" s="5" t="s">
        <v>28</v>
      </c>
      <c r="F27" s="32" t="s">
        <v>42</v>
      </c>
      <c r="G27" s="11">
        <v>5</v>
      </c>
      <c r="H27" s="29">
        <v>0</v>
      </c>
      <c r="I27" s="11">
        <f t="shared" si="0"/>
        <v>-5</v>
      </c>
      <c r="J27" s="5"/>
    </row>
    <row r="28" spans="1:10" x14ac:dyDescent="0.3">
      <c r="A28" s="26">
        <v>46296</v>
      </c>
      <c r="B28" s="5" t="s">
        <v>88</v>
      </c>
      <c r="C28" s="5">
        <v>40</v>
      </c>
      <c r="D28" s="5" t="s">
        <v>25</v>
      </c>
      <c r="E28" s="5" t="s">
        <v>28</v>
      </c>
      <c r="F28" s="31" t="s">
        <v>41</v>
      </c>
      <c r="G28" s="11">
        <v>4</v>
      </c>
      <c r="H28" s="29">
        <v>0</v>
      </c>
      <c r="I28" s="11">
        <f t="shared" si="0"/>
        <v>-4</v>
      </c>
      <c r="J28" s="5"/>
    </row>
    <row r="29" spans="1:10" x14ac:dyDescent="0.3">
      <c r="A29" s="26">
        <v>46296</v>
      </c>
      <c r="B29" s="5" t="s">
        <v>88</v>
      </c>
      <c r="C29" s="5">
        <v>40</v>
      </c>
      <c r="D29" s="5" t="s">
        <v>25</v>
      </c>
      <c r="E29" s="5" t="s">
        <v>28</v>
      </c>
      <c r="F29" s="32" t="s">
        <v>42</v>
      </c>
      <c r="G29" s="11">
        <v>5</v>
      </c>
      <c r="H29" s="29">
        <v>0</v>
      </c>
      <c r="I29" s="11">
        <f t="shared" si="0"/>
        <v>-5</v>
      </c>
      <c r="J29" s="5"/>
    </row>
    <row r="30" spans="1:10" x14ac:dyDescent="0.3">
      <c r="A30" s="26">
        <v>46297</v>
      </c>
      <c r="B30" s="5" t="s">
        <v>89</v>
      </c>
      <c r="C30" s="5">
        <v>40</v>
      </c>
      <c r="D30" s="5" t="s">
        <v>24</v>
      </c>
      <c r="E30" s="5" t="s">
        <v>28</v>
      </c>
      <c r="F30" s="32" t="s">
        <v>42</v>
      </c>
      <c r="G30" s="11">
        <v>4</v>
      </c>
      <c r="H30" s="29">
        <v>0</v>
      </c>
      <c r="I30" s="11">
        <f t="shared" si="0"/>
        <v>-4</v>
      </c>
      <c r="J30" s="5"/>
    </row>
    <row r="31" spans="1:10" x14ac:dyDescent="0.3">
      <c r="A31" s="26">
        <v>46297</v>
      </c>
      <c r="B31" s="5" t="s">
        <v>89</v>
      </c>
      <c r="C31" s="5">
        <v>40</v>
      </c>
      <c r="D31" s="5" t="s">
        <v>25</v>
      </c>
      <c r="E31" s="5" t="s">
        <v>28</v>
      </c>
      <c r="F31" s="32" t="s">
        <v>42</v>
      </c>
      <c r="G31" s="11">
        <v>4</v>
      </c>
      <c r="H31" s="29">
        <v>0</v>
      </c>
      <c r="I31" s="11">
        <f t="shared" si="0"/>
        <v>-4</v>
      </c>
      <c r="J31" s="5"/>
    </row>
    <row r="32" spans="1:10" x14ac:dyDescent="0.3">
      <c r="A32" s="26">
        <v>46300</v>
      </c>
      <c r="B32" s="5" t="s">
        <v>69</v>
      </c>
      <c r="C32" s="5">
        <v>41</v>
      </c>
      <c r="D32" s="5" t="s">
        <v>24</v>
      </c>
      <c r="E32" s="5" t="s">
        <v>28</v>
      </c>
      <c r="F32" s="32" t="s">
        <v>42</v>
      </c>
      <c r="G32" s="11">
        <v>4</v>
      </c>
      <c r="H32" s="29">
        <v>0</v>
      </c>
      <c r="I32" s="11">
        <f t="shared" si="0"/>
        <v>-4</v>
      </c>
      <c r="J32" s="5"/>
    </row>
    <row r="33" spans="1:10" x14ac:dyDescent="0.3">
      <c r="A33" s="26">
        <v>46300</v>
      </c>
      <c r="B33" s="5" t="s">
        <v>69</v>
      </c>
      <c r="C33" s="5">
        <v>41</v>
      </c>
      <c r="D33" s="5" t="s">
        <v>25</v>
      </c>
      <c r="E33" s="5" t="s">
        <v>28</v>
      </c>
      <c r="F33" s="32" t="s">
        <v>42</v>
      </c>
      <c r="G33" s="11">
        <v>4</v>
      </c>
      <c r="H33" s="29">
        <v>0</v>
      </c>
      <c r="I33" s="11">
        <f t="shared" si="0"/>
        <v>-4</v>
      </c>
      <c r="J33" s="5"/>
    </row>
    <row r="34" spans="1:10" x14ac:dyDescent="0.3">
      <c r="A34" s="26">
        <v>46301</v>
      </c>
      <c r="B34" s="5" t="s">
        <v>90</v>
      </c>
      <c r="C34" s="5">
        <v>41</v>
      </c>
      <c r="D34" s="5" t="s">
        <v>24</v>
      </c>
      <c r="E34" s="5" t="s">
        <v>28</v>
      </c>
      <c r="F34" s="32" t="s">
        <v>42</v>
      </c>
      <c r="G34" s="11">
        <v>4</v>
      </c>
      <c r="H34" s="29">
        <v>0</v>
      </c>
      <c r="I34" s="11">
        <f t="shared" ref="I34:I65" si="1">IF(H34="","",H34-G34)</f>
        <v>-4</v>
      </c>
      <c r="J34" s="5"/>
    </row>
    <row r="35" spans="1:10" x14ac:dyDescent="0.3">
      <c r="A35" s="26">
        <v>46301</v>
      </c>
      <c r="B35" s="5" t="s">
        <v>90</v>
      </c>
      <c r="C35" s="5">
        <v>41</v>
      </c>
      <c r="D35" s="5" t="s">
        <v>25</v>
      </c>
      <c r="E35" s="5" t="s">
        <v>28</v>
      </c>
      <c r="F35" s="32" t="s">
        <v>42</v>
      </c>
      <c r="G35" s="11">
        <v>4</v>
      </c>
      <c r="H35" s="29">
        <v>0</v>
      </c>
      <c r="I35" s="11">
        <f t="shared" si="1"/>
        <v>-4</v>
      </c>
      <c r="J35" s="5"/>
    </row>
    <row r="36" spans="1:10" x14ac:dyDescent="0.3">
      <c r="A36" s="26">
        <v>46302</v>
      </c>
      <c r="B36" s="5" t="s">
        <v>86</v>
      </c>
      <c r="C36" s="5">
        <v>41</v>
      </c>
      <c r="D36" s="5" t="s">
        <v>24</v>
      </c>
      <c r="E36" s="5" t="s">
        <v>28</v>
      </c>
      <c r="F36" s="32" t="s">
        <v>42</v>
      </c>
      <c r="G36" s="11">
        <v>4</v>
      </c>
      <c r="H36" s="29">
        <v>0</v>
      </c>
      <c r="I36" s="11">
        <f t="shared" si="1"/>
        <v>-4</v>
      </c>
      <c r="J36" s="5"/>
    </row>
    <row r="37" spans="1:10" x14ac:dyDescent="0.3">
      <c r="A37" s="26">
        <v>46302</v>
      </c>
      <c r="B37" s="5" t="s">
        <v>86</v>
      </c>
      <c r="C37" s="5">
        <v>41</v>
      </c>
      <c r="D37" s="5" t="s">
        <v>25</v>
      </c>
      <c r="E37" s="5" t="s">
        <v>28</v>
      </c>
      <c r="F37" s="32" t="s">
        <v>42</v>
      </c>
      <c r="G37" s="11">
        <v>4</v>
      </c>
      <c r="H37" s="29">
        <v>0</v>
      </c>
      <c r="I37" s="11">
        <f t="shared" si="1"/>
        <v>-4</v>
      </c>
      <c r="J37" s="5"/>
    </row>
    <row r="38" spans="1:10" x14ac:dyDescent="0.3">
      <c r="A38" s="26">
        <v>46303</v>
      </c>
      <c r="B38" s="5" t="s">
        <v>88</v>
      </c>
      <c r="C38" s="5">
        <v>41</v>
      </c>
      <c r="D38" s="5" t="s">
        <v>24</v>
      </c>
      <c r="E38" s="5" t="s">
        <v>28</v>
      </c>
      <c r="F38" s="32" t="s">
        <v>42</v>
      </c>
      <c r="G38" s="11">
        <v>4</v>
      </c>
      <c r="H38" s="29">
        <v>0</v>
      </c>
      <c r="I38" s="11">
        <f t="shared" si="1"/>
        <v>-4</v>
      </c>
      <c r="J38" s="5"/>
    </row>
    <row r="39" spans="1:10" x14ac:dyDescent="0.3">
      <c r="A39" s="26">
        <v>46303</v>
      </c>
      <c r="B39" s="5" t="s">
        <v>88</v>
      </c>
      <c r="C39" s="5">
        <v>41</v>
      </c>
      <c r="D39" s="5" t="s">
        <v>24</v>
      </c>
      <c r="E39" s="5" t="s">
        <v>28</v>
      </c>
      <c r="F39" s="33" t="s">
        <v>43</v>
      </c>
      <c r="G39" s="11">
        <v>5</v>
      </c>
      <c r="H39" s="29">
        <v>0</v>
      </c>
      <c r="I39" s="11">
        <f t="shared" si="1"/>
        <v>-5</v>
      </c>
      <c r="J39" s="5"/>
    </row>
    <row r="40" spans="1:10" x14ac:dyDescent="0.3">
      <c r="A40" s="26">
        <v>46303</v>
      </c>
      <c r="B40" s="5" t="s">
        <v>88</v>
      </c>
      <c r="C40" s="5">
        <v>41</v>
      </c>
      <c r="D40" s="5" t="s">
        <v>25</v>
      </c>
      <c r="E40" s="5" t="s">
        <v>28</v>
      </c>
      <c r="F40" s="32" t="s">
        <v>42</v>
      </c>
      <c r="G40" s="11">
        <v>4</v>
      </c>
      <c r="H40" s="29">
        <v>0</v>
      </c>
      <c r="I40" s="11">
        <f t="shared" si="1"/>
        <v>-4</v>
      </c>
      <c r="J40" s="5"/>
    </row>
    <row r="41" spans="1:10" x14ac:dyDescent="0.3">
      <c r="A41" s="26">
        <v>46303</v>
      </c>
      <c r="B41" s="5" t="s">
        <v>88</v>
      </c>
      <c r="C41" s="5">
        <v>41</v>
      </c>
      <c r="D41" s="5" t="s">
        <v>25</v>
      </c>
      <c r="E41" s="5" t="s">
        <v>28</v>
      </c>
      <c r="F41" s="33" t="s">
        <v>43</v>
      </c>
      <c r="G41" s="11">
        <v>5</v>
      </c>
      <c r="H41" s="29">
        <v>0</v>
      </c>
      <c r="I41" s="11">
        <f>IF(H41="","",H41-G41)</f>
        <v>-5</v>
      </c>
      <c r="J41" s="5"/>
    </row>
    <row r="42" spans="1:10" x14ac:dyDescent="0.3">
      <c r="A42" s="26">
        <v>46304</v>
      </c>
      <c r="B42" s="5" t="s">
        <v>89</v>
      </c>
      <c r="C42" s="5">
        <v>41</v>
      </c>
      <c r="D42" s="5" t="s">
        <v>24</v>
      </c>
      <c r="E42" s="5" t="s">
        <v>28</v>
      </c>
      <c r="F42" s="33" t="s">
        <v>43</v>
      </c>
      <c r="G42" s="11">
        <v>5</v>
      </c>
      <c r="H42" s="29"/>
      <c r="I42" s="11" t="str">
        <f t="shared" si="1"/>
        <v/>
      </c>
      <c r="J42" s="5"/>
    </row>
    <row r="43" spans="1:10" x14ac:dyDescent="0.3">
      <c r="A43" s="26">
        <v>46304</v>
      </c>
      <c r="B43" s="5" t="s">
        <v>89</v>
      </c>
      <c r="C43" s="5">
        <v>41</v>
      </c>
      <c r="D43" s="5" t="s">
        <v>25</v>
      </c>
      <c r="E43" s="5" t="s">
        <v>28</v>
      </c>
      <c r="F43" s="33" t="s">
        <v>43</v>
      </c>
      <c r="G43" s="11">
        <v>5</v>
      </c>
      <c r="H43" s="29"/>
      <c r="I43" s="11" t="str">
        <f t="shared" si="1"/>
        <v/>
      </c>
      <c r="J43" s="5"/>
    </row>
    <row r="44" spans="1:10" x14ac:dyDescent="0.3">
      <c r="A44" s="26">
        <v>46308</v>
      </c>
      <c r="B44" s="5" t="s">
        <v>90</v>
      </c>
      <c r="C44" s="5">
        <v>42</v>
      </c>
      <c r="D44" s="5" t="s">
        <v>24</v>
      </c>
      <c r="E44" s="5" t="s">
        <v>28</v>
      </c>
      <c r="F44" s="33" t="s">
        <v>43</v>
      </c>
      <c r="G44" s="11">
        <v>5</v>
      </c>
      <c r="H44" s="29"/>
      <c r="I44" s="11" t="str">
        <f t="shared" si="1"/>
        <v/>
      </c>
      <c r="J44" s="5"/>
    </row>
    <row r="45" spans="1:10" x14ac:dyDescent="0.3">
      <c r="A45" s="26">
        <v>46308</v>
      </c>
      <c r="B45" s="5" t="s">
        <v>90</v>
      </c>
      <c r="C45" s="5">
        <v>42</v>
      </c>
      <c r="D45" s="5" t="s">
        <v>25</v>
      </c>
      <c r="E45" s="5" t="s">
        <v>28</v>
      </c>
      <c r="F45" s="33" t="s">
        <v>43</v>
      </c>
      <c r="G45" s="11">
        <v>5</v>
      </c>
      <c r="H45" s="29"/>
      <c r="I45" s="11" t="str">
        <f t="shared" si="1"/>
        <v/>
      </c>
      <c r="J45" s="5"/>
    </row>
    <row r="46" spans="1:10" x14ac:dyDescent="0.3">
      <c r="A46" s="26">
        <v>46309</v>
      </c>
      <c r="B46" s="5" t="s">
        <v>86</v>
      </c>
      <c r="C46" s="5">
        <v>42</v>
      </c>
      <c r="D46" s="5" t="s">
        <v>24</v>
      </c>
      <c r="E46" s="5" t="s">
        <v>28</v>
      </c>
      <c r="F46" s="33" t="s">
        <v>43</v>
      </c>
      <c r="G46" s="11">
        <v>5</v>
      </c>
      <c r="H46" s="29"/>
      <c r="I46" s="11" t="str">
        <f t="shared" si="1"/>
        <v/>
      </c>
      <c r="J46" s="5"/>
    </row>
    <row r="47" spans="1:10" x14ac:dyDescent="0.3">
      <c r="A47" s="26">
        <v>46309</v>
      </c>
      <c r="B47" s="5" t="s">
        <v>86</v>
      </c>
      <c r="C47" s="5">
        <v>42</v>
      </c>
      <c r="D47" s="5" t="s">
        <v>25</v>
      </c>
      <c r="E47" s="5" t="s">
        <v>28</v>
      </c>
      <c r="F47" s="33" t="s">
        <v>43</v>
      </c>
      <c r="G47" s="11">
        <v>5</v>
      </c>
      <c r="H47" s="29"/>
      <c r="I47" s="11" t="str">
        <f t="shared" si="1"/>
        <v/>
      </c>
      <c r="J47" s="5"/>
    </row>
    <row r="48" spans="1:10" x14ac:dyDescent="0.3">
      <c r="A48" s="26">
        <v>46310</v>
      </c>
      <c r="B48" s="5" t="s">
        <v>88</v>
      </c>
      <c r="C48" s="5">
        <v>42</v>
      </c>
      <c r="D48" s="5" t="s">
        <v>24</v>
      </c>
      <c r="E48" s="5" t="s">
        <v>28</v>
      </c>
      <c r="F48" s="33" t="s">
        <v>43</v>
      </c>
      <c r="G48" s="11">
        <v>5</v>
      </c>
      <c r="H48" s="29"/>
      <c r="I48" s="11" t="str">
        <f t="shared" si="1"/>
        <v/>
      </c>
      <c r="J48" s="5"/>
    </row>
    <row r="49" spans="1:10" x14ac:dyDescent="0.3">
      <c r="A49" s="26">
        <v>46310</v>
      </c>
      <c r="B49" s="5" t="s">
        <v>88</v>
      </c>
      <c r="C49" s="5">
        <v>42</v>
      </c>
      <c r="D49" s="5" t="s">
        <v>25</v>
      </c>
      <c r="E49" s="5" t="s">
        <v>28</v>
      </c>
      <c r="F49" s="33" t="s">
        <v>43</v>
      </c>
      <c r="G49" s="11">
        <v>5</v>
      </c>
      <c r="H49" s="29"/>
      <c r="I49" s="11" t="str">
        <f t="shared" si="1"/>
        <v/>
      </c>
      <c r="J49" s="5"/>
    </row>
    <row r="50" spans="1:10" x14ac:dyDescent="0.3">
      <c r="A50" s="26">
        <v>46311</v>
      </c>
      <c r="B50" s="5" t="s">
        <v>89</v>
      </c>
      <c r="C50" s="5">
        <v>42</v>
      </c>
      <c r="D50" s="5" t="s">
        <v>24</v>
      </c>
      <c r="E50" s="5" t="s">
        <v>30</v>
      </c>
      <c r="F50" s="28" t="s">
        <v>40</v>
      </c>
      <c r="G50" s="11">
        <v>7</v>
      </c>
      <c r="H50" s="29"/>
      <c r="I50" s="11" t="str">
        <f t="shared" si="1"/>
        <v/>
      </c>
      <c r="J50" s="5"/>
    </row>
    <row r="51" spans="1:10" x14ac:dyDescent="0.3">
      <c r="A51" s="26">
        <v>46311</v>
      </c>
      <c r="B51" s="5" t="s">
        <v>89</v>
      </c>
      <c r="C51" s="5">
        <v>42</v>
      </c>
      <c r="D51" s="5" t="s">
        <v>25</v>
      </c>
      <c r="E51" s="5" t="s">
        <v>30</v>
      </c>
      <c r="F51" s="28" t="s">
        <v>40</v>
      </c>
      <c r="G51" s="11">
        <v>7</v>
      </c>
      <c r="H51" s="29"/>
      <c r="I51" s="11" t="str">
        <f t="shared" si="1"/>
        <v/>
      </c>
      <c r="J51" s="5"/>
    </row>
    <row r="52" spans="1:10" x14ac:dyDescent="0.3">
      <c r="A52" s="26">
        <v>46314</v>
      </c>
      <c r="B52" s="5" t="s">
        <v>69</v>
      </c>
      <c r="C52" s="5">
        <v>43</v>
      </c>
      <c r="D52" s="5" t="s">
        <v>24</v>
      </c>
      <c r="E52" s="5" t="s">
        <v>30</v>
      </c>
      <c r="F52" s="28" t="s">
        <v>40</v>
      </c>
      <c r="G52" s="11">
        <v>6</v>
      </c>
      <c r="H52" s="29"/>
      <c r="I52" s="11" t="str">
        <f t="shared" si="1"/>
        <v/>
      </c>
      <c r="J52" s="5"/>
    </row>
    <row r="53" spans="1:10" x14ac:dyDescent="0.3">
      <c r="A53" s="26">
        <v>46314</v>
      </c>
      <c r="B53" s="5" t="s">
        <v>69</v>
      </c>
      <c r="C53" s="5">
        <v>43</v>
      </c>
      <c r="D53" s="5" t="s">
        <v>25</v>
      </c>
      <c r="E53" s="5" t="s">
        <v>30</v>
      </c>
      <c r="F53" s="28" t="s">
        <v>40</v>
      </c>
      <c r="G53" s="11">
        <v>6</v>
      </c>
      <c r="H53" s="29"/>
      <c r="I53" s="11" t="str">
        <f t="shared" si="1"/>
        <v/>
      </c>
      <c r="J53" s="5"/>
    </row>
    <row r="54" spans="1:10" x14ac:dyDescent="0.3">
      <c r="A54" s="26">
        <v>46315</v>
      </c>
      <c r="B54" s="5" t="s">
        <v>90</v>
      </c>
      <c r="C54" s="5">
        <v>43</v>
      </c>
      <c r="D54" s="5" t="s">
        <v>24</v>
      </c>
      <c r="E54" s="5" t="s">
        <v>30</v>
      </c>
      <c r="F54" s="28" t="s">
        <v>40</v>
      </c>
      <c r="G54" s="11">
        <v>6</v>
      </c>
      <c r="H54" s="29"/>
      <c r="I54" s="11" t="str">
        <f t="shared" si="1"/>
        <v/>
      </c>
      <c r="J54" s="5"/>
    </row>
    <row r="55" spans="1:10" x14ac:dyDescent="0.3">
      <c r="A55" s="26">
        <v>46315</v>
      </c>
      <c r="B55" s="5" t="s">
        <v>90</v>
      </c>
      <c r="C55" s="5">
        <v>43</v>
      </c>
      <c r="D55" s="5" t="s">
        <v>25</v>
      </c>
      <c r="E55" s="5" t="s">
        <v>30</v>
      </c>
      <c r="F55" s="28" t="s">
        <v>40</v>
      </c>
      <c r="G55" s="11">
        <v>6</v>
      </c>
      <c r="H55" s="29"/>
      <c r="I55" s="11" t="str">
        <f t="shared" si="1"/>
        <v/>
      </c>
      <c r="J55" s="5"/>
    </row>
    <row r="56" spans="1:10" x14ac:dyDescent="0.3">
      <c r="A56" s="26">
        <v>46316</v>
      </c>
      <c r="B56" s="5" t="s">
        <v>86</v>
      </c>
      <c r="C56" s="5">
        <v>43</v>
      </c>
      <c r="D56" s="5" t="s">
        <v>24</v>
      </c>
      <c r="E56" s="5" t="s">
        <v>30</v>
      </c>
      <c r="F56" s="28" t="s">
        <v>40</v>
      </c>
      <c r="G56" s="11">
        <v>6</v>
      </c>
      <c r="H56" s="29"/>
      <c r="I56" s="11" t="str">
        <f t="shared" si="1"/>
        <v/>
      </c>
      <c r="J56" s="5"/>
    </row>
    <row r="57" spans="1:10" x14ac:dyDescent="0.3">
      <c r="A57" s="26">
        <v>46316</v>
      </c>
      <c r="B57" s="5" t="s">
        <v>86</v>
      </c>
      <c r="C57" s="5">
        <v>43</v>
      </c>
      <c r="D57" s="5" t="s">
        <v>24</v>
      </c>
      <c r="E57" s="5" t="s">
        <v>30</v>
      </c>
      <c r="F57" s="31" t="s">
        <v>41</v>
      </c>
      <c r="G57" s="11">
        <v>7</v>
      </c>
      <c r="H57" s="29"/>
      <c r="I57" s="11" t="str">
        <f t="shared" si="1"/>
        <v/>
      </c>
      <c r="J57" s="5"/>
    </row>
    <row r="58" spans="1:10" x14ac:dyDescent="0.3">
      <c r="A58" s="26">
        <v>46316</v>
      </c>
      <c r="B58" s="5" t="s">
        <v>86</v>
      </c>
      <c r="C58" s="5">
        <v>43</v>
      </c>
      <c r="D58" s="5" t="s">
        <v>25</v>
      </c>
      <c r="E58" s="5" t="s">
        <v>30</v>
      </c>
      <c r="F58" s="28" t="s">
        <v>40</v>
      </c>
      <c r="G58" s="11">
        <v>6</v>
      </c>
      <c r="H58" s="29"/>
      <c r="I58" s="11" t="str">
        <f t="shared" si="1"/>
        <v/>
      </c>
      <c r="J58" s="5"/>
    </row>
    <row r="59" spans="1:10" x14ac:dyDescent="0.3">
      <c r="A59" s="26">
        <v>46316</v>
      </c>
      <c r="B59" s="5" t="s">
        <v>86</v>
      </c>
      <c r="C59" s="5">
        <v>43</v>
      </c>
      <c r="D59" s="5" t="s">
        <v>25</v>
      </c>
      <c r="E59" s="5" t="s">
        <v>30</v>
      </c>
      <c r="F59" s="31" t="s">
        <v>41</v>
      </c>
      <c r="G59" s="11">
        <v>7</v>
      </c>
      <c r="H59" s="29"/>
      <c r="I59" s="11" t="str">
        <f t="shared" si="1"/>
        <v/>
      </c>
      <c r="J59" s="5"/>
    </row>
    <row r="60" spans="1:10" x14ac:dyDescent="0.3">
      <c r="A60" s="26">
        <v>46317</v>
      </c>
      <c r="B60" s="5" t="s">
        <v>88</v>
      </c>
      <c r="C60" s="5">
        <v>43</v>
      </c>
      <c r="D60" s="5" t="s">
        <v>24</v>
      </c>
      <c r="E60" s="5" t="s">
        <v>30</v>
      </c>
      <c r="F60" s="31" t="s">
        <v>41</v>
      </c>
      <c r="G60" s="11">
        <v>6</v>
      </c>
      <c r="H60" s="29"/>
      <c r="I60" s="11" t="str">
        <f t="shared" si="1"/>
        <v/>
      </c>
      <c r="J60" s="5"/>
    </row>
    <row r="61" spans="1:10" x14ac:dyDescent="0.3">
      <c r="A61" s="26">
        <v>46317</v>
      </c>
      <c r="B61" s="5" t="s">
        <v>88</v>
      </c>
      <c r="C61" s="5">
        <v>43</v>
      </c>
      <c r="D61" s="5" t="s">
        <v>25</v>
      </c>
      <c r="E61" s="5" t="s">
        <v>30</v>
      </c>
      <c r="F61" s="31" t="s">
        <v>41</v>
      </c>
      <c r="G61" s="11">
        <v>6</v>
      </c>
      <c r="H61" s="29"/>
      <c r="I61" s="11" t="str">
        <f t="shared" si="1"/>
        <v/>
      </c>
      <c r="J61" s="5"/>
    </row>
    <row r="62" spans="1:10" x14ac:dyDescent="0.3">
      <c r="A62" s="26">
        <v>46318</v>
      </c>
      <c r="B62" s="5" t="s">
        <v>89</v>
      </c>
      <c r="C62" s="5">
        <v>43</v>
      </c>
      <c r="D62" s="5" t="s">
        <v>24</v>
      </c>
      <c r="E62" s="5" t="s">
        <v>30</v>
      </c>
      <c r="F62" s="31" t="s">
        <v>41</v>
      </c>
      <c r="G62" s="11">
        <v>6</v>
      </c>
      <c r="H62" s="29"/>
      <c r="I62" s="11" t="str">
        <f t="shared" si="1"/>
        <v/>
      </c>
      <c r="J62" s="5"/>
    </row>
    <row r="63" spans="1:10" x14ac:dyDescent="0.3">
      <c r="A63" s="26">
        <v>46318</v>
      </c>
      <c r="B63" s="5" t="s">
        <v>89</v>
      </c>
      <c r="C63" s="5">
        <v>43</v>
      </c>
      <c r="D63" s="5" t="s">
        <v>25</v>
      </c>
      <c r="E63" s="5" t="s">
        <v>30</v>
      </c>
      <c r="F63" s="31" t="s">
        <v>41</v>
      </c>
      <c r="G63" s="11">
        <v>6</v>
      </c>
      <c r="H63" s="29"/>
      <c r="I63" s="11" t="str">
        <f t="shared" si="1"/>
        <v/>
      </c>
      <c r="J63" s="5"/>
    </row>
    <row r="64" spans="1:10" x14ac:dyDescent="0.3">
      <c r="A64" s="26">
        <v>46321</v>
      </c>
      <c r="B64" s="5" t="s">
        <v>69</v>
      </c>
      <c r="C64" s="5">
        <v>44</v>
      </c>
      <c r="D64" s="5" t="s">
        <v>24</v>
      </c>
      <c r="E64" s="5" t="s">
        <v>30</v>
      </c>
      <c r="F64" s="31" t="s">
        <v>41</v>
      </c>
      <c r="G64" s="11">
        <v>6</v>
      </c>
      <c r="H64" s="29"/>
      <c r="I64" s="11" t="str">
        <f t="shared" si="1"/>
        <v/>
      </c>
      <c r="J64" s="5"/>
    </row>
    <row r="65" spans="1:10" x14ac:dyDescent="0.3">
      <c r="A65" s="26">
        <v>46321</v>
      </c>
      <c r="B65" s="5" t="s">
        <v>69</v>
      </c>
      <c r="C65" s="5">
        <v>44</v>
      </c>
      <c r="D65" s="5" t="s">
        <v>24</v>
      </c>
      <c r="E65" s="5" t="s">
        <v>30</v>
      </c>
      <c r="F65" s="32" t="s">
        <v>42</v>
      </c>
      <c r="G65" s="11">
        <v>9</v>
      </c>
      <c r="H65" s="29"/>
      <c r="I65" s="11" t="str">
        <f t="shared" si="1"/>
        <v/>
      </c>
      <c r="J65" s="5"/>
    </row>
    <row r="66" spans="1:10" x14ac:dyDescent="0.3">
      <c r="A66" s="26">
        <v>46321</v>
      </c>
      <c r="B66" s="5" t="s">
        <v>69</v>
      </c>
      <c r="C66" s="5">
        <v>44</v>
      </c>
      <c r="D66" s="5" t="s">
        <v>25</v>
      </c>
      <c r="E66" s="5" t="s">
        <v>30</v>
      </c>
      <c r="F66" s="31" t="s">
        <v>41</v>
      </c>
      <c r="G66" s="11">
        <v>6</v>
      </c>
      <c r="H66" s="29"/>
      <c r="I66" s="11" t="str">
        <f t="shared" ref="I66:I97" si="2">IF(H66="","",H66-G66)</f>
        <v/>
      </c>
      <c r="J66" s="5"/>
    </row>
    <row r="67" spans="1:10" x14ac:dyDescent="0.3">
      <c r="A67" s="26">
        <v>46321</v>
      </c>
      <c r="B67" s="5" t="s">
        <v>69</v>
      </c>
      <c r="C67" s="5">
        <v>44</v>
      </c>
      <c r="D67" s="5" t="s">
        <v>25</v>
      </c>
      <c r="E67" s="5" t="s">
        <v>30</v>
      </c>
      <c r="F67" s="32" t="s">
        <v>42</v>
      </c>
      <c r="G67" s="11">
        <v>9</v>
      </c>
      <c r="H67" s="29"/>
      <c r="I67" s="11" t="str">
        <f t="shared" si="2"/>
        <v/>
      </c>
      <c r="J67" s="5"/>
    </row>
    <row r="68" spans="1:10" x14ac:dyDescent="0.3">
      <c r="A68" s="26">
        <v>46322</v>
      </c>
      <c r="B68" s="5" t="s">
        <v>90</v>
      </c>
      <c r="C68" s="5">
        <v>44</v>
      </c>
      <c r="D68" s="5" t="s">
        <v>24</v>
      </c>
      <c r="E68" s="5" t="s">
        <v>30</v>
      </c>
      <c r="F68" s="32" t="s">
        <v>42</v>
      </c>
      <c r="G68" s="11">
        <v>8</v>
      </c>
      <c r="H68" s="29"/>
      <c r="I68" s="11" t="str">
        <f t="shared" si="2"/>
        <v/>
      </c>
      <c r="J68" s="5"/>
    </row>
    <row r="69" spans="1:10" x14ac:dyDescent="0.3">
      <c r="A69" s="26">
        <v>46322</v>
      </c>
      <c r="B69" s="5" t="s">
        <v>90</v>
      </c>
      <c r="C69" s="5">
        <v>44</v>
      </c>
      <c r="D69" s="5" t="s">
        <v>25</v>
      </c>
      <c r="E69" s="5" t="s">
        <v>30</v>
      </c>
      <c r="F69" s="32" t="s">
        <v>42</v>
      </c>
      <c r="G69" s="11">
        <v>8</v>
      </c>
      <c r="H69" s="29"/>
      <c r="I69" s="11" t="str">
        <f t="shared" si="2"/>
        <v/>
      </c>
      <c r="J69" s="5"/>
    </row>
    <row r="70" spans="1:10" x14ac:dyDescent="0.3">
      <c r="A70" s="26">
        <v>46323</v>
      </c>
      <c r="B70" s="5" t="s">
        <v>86</v>
      </c>
      <c r="C70" s="5">
        <v>44</v>
      </c>
      <c r="D70" s="5" t="s">
        <v>24</v>
      </c>
      <c r="E70" s="5" t="s">
        <v>30</v>
      </c>
      <c r="F70" s="32" t="s">
        <v>42</v>
      </c>
      <c r="G70" s="11">
        <v>8</v>
      </c>
      <c r="H70" s="29"/>
      <c r="I70" s="11" t="str">
        <f t="shared" si="2"/>
        <v/>
      </c>
      <c r="J70" s="5"/>
    </row>
    <row r="71" spans="1:10" x14ac:dyDescent="0.3">
      <c r="A71" s="26">
        <v>46323</v>
      </c>
      <c r="B71" s="5" t="s">
        <v>86</v>
      </c>
      <c r="C71" s="5">
        <v>44</v>
      </c>
      <c r="D71" s="5" t="s">
        <v>24</v>
      </c>
      <c r="E71" s="5" t="s">
        <v>30</v>
      </c>
      <c r="F71" s="33" t="s">
        <v>43</v>
      </c>
      <c r="G71" s="11">
        <v>9</v>
      </c>
      <c r="H71" s="29"/>
      <c r="I71" s="11" t="str">
        <f t="shared" si="2"/>
        <v/>
      </c>
      <c r="J71" s="5"/>
    </row>
    <row r="72" spans="1:10" x14ac:dyDescent="0.3">
      <c r="A72" s="26">
        <v>46323</v>
      </c>
      <c r="B72" s="5" t="s">
        <v>86</v>
      </c>
      <c r="C72" s="5">
        <v>44</v>
      </c>
      <c r="D72" s="5" t="s">
        <v>25</v>
      </c>
      <c r="E72" s="5" t="s">
        <v>30</v>
      </c>
      <c r="F72" s="32" t="s">
        <v>42</v>
      </c>
      <c r="G72" s="11">
        <v>8</v>
      </c>
      <c r="H72" s="29"/>
      <c r="I72" s="11" t="str">
        <f t="shared" si="2"/>
        <v/>
      </c>
      <c r="J72" s="5"/>
    </row>
    <row r="73" spans="1:10" x14ac:dyDescent="0.3">
      <c r="A73" s="26">
        <v>46323</v>
      </c>
      <c r="B73" s="5" t="s">
        <v>86</v>
      </c>
      <c r="C73" s="5">
        <v>44</v>
      </c>
      <c r="D73" s="5" t="s">
        <v>25</v>
      </c>
      <c r="E73" s="5" t="s">
        <v>30</v>
      </c>
      <c r="F73" s="33" t="s">
        <v>43</v>
      </c>
      <c r="G73" s="11">
        <v>9</v>
      </c>
      <c r="H73" s="29"/>
      <c r="I73" s="11" t="str">
        <f t="shared" si="2"/>
        <v/>
      </c>
      <c r="J73" s="5"/>
    </row>
    <row r="74" spans="1:10" x14ac:dyDescent="0.3">
      <c r="A74" s="26">
        <v>46324</v>
      </c>
      <c r="B74" s="5" t="s">
        <v>88</v>
      </c>
      <c r="C74" s="5">
        <v>44</v>
      </c>
      <c r="D74" s="5" t="s">
        <v>24</v>
      </c>
      <c r="E74" s="5" t="s">
        <v>30</v>
      </c>
      <c r="F74" s="33" t="s">
        <v>43</v>
      </c>
      <c r="G74" s="11">
        <v>8</v>
      </c>
      <c r="H74" s="29"/>
      <c r="I74" s="11" t="str">
        <f t="shared" si="2"/>
        <v/>
      </c>
      <c r="J74" s="5"/>
    </row>
    <row r="75" spans="1:10" x14ac:dyDescent="0.3">
      <c r="A75" s="26">
        <v>46324</v>
      </c>
      <c r="B75" s="5" t="s">
        <v>88</v>
      </c>
      <c r="C75" s="5">
        <v>44</v>
      </c>
      <c r="D75" s="5" t="s">
        <v>25</v>
      </c>
      <c r="E75" s="5" t="s">
        <v>30</v>
      </c>
      <c r="F75" s="33" t="s">
        <v>43</v>
      </c>
      <c r="G75" s="11">
        <v>8</v>
      </c>
      <c r="H75" s="29"/>
      <c r="I75" s="11" t="str">
        <f t="shared" si="2"/>
        <v/>
      </c>
      <c r="J75" s="5"/>
    </row>
    <row r="76" spans="1:10" x14ac:dyDescent="0.3">
      <c r="A76" s="26">
        <v>46325</v>
      </c>
      <c r="B76" s="5" t="s">
        <v>89</v>
      </c>
      <c r="C76" s="5">
        <v>44</v>
      </c>
      <c r="D76" s="5" t="s">
        <v>24</v>
      </c>
      <c r="E76" s="5" t="s">
        <v>30</v>
      </c>
      <c r="F76" s="33" t="s">
        <v>43</v>
      </c>
      <c r="G76" s="11">
        <v>8</v>
      </c>
      <c r="H76" s="29"/>
      <c r="I76" s="11" t="str">
        <f t="shared" si="2"/>
        <v/>
      </c>
      <c r="J76" s="5"/>
    </row>
    <row r="77" spans="1:10" x14ac:dyDescent="0.3">
      <c r="A77" s="26">
        <v>46325</v>
      </c>
      <c r="B77" s="5" t="s">
        <v>89</v>
      </c>
      <c r="C77" s="5">
        <v>44</v>
      </c>
      <c r="D77" s="5" t="s">
        <v>25</v>
      </c>
      <c r="E77" s="5" t="s">
        <v>30</v>
      </c>
      <c r="F77" s="33" t="s">
        <v>43</v>
      </c>
      <c r="G77" s="11">
        <v>8</v>
      </c>
      <c r="H77" s="29"/>
      <c r="I77" s="11" t="str">
        <f t="shared" si="2"/>
        <v/>
      </c>
      <c r="J77" s="5"/>
    </row>
    <row r="78" spans="1:10" x14ac:dyDescent="0.3">
      <c r="A78" s="26">
        <v>46329</v>
      </c>
      <c r="B78" s="5" t="s">
        <v>90</v>
      </c>
      <c r="C78" s="5">
        <v>45</v>
      </c>
      <c r="D78" s="5" t="s">
        <v>24</v>
      </c>
      <c r="E78" s="5" t="s">
        <v>32</v>
      </c>
      <c r="F78" s="28" t="s">
        <v>40</v>
      </c>
      <c r="G78" s="11">
        <v>9</v>
      </c>
      <c r="H78" s="29"/>
      <c r="I78" s="11" t="str">
        <f t="shared" si="2"/>
        <v/>
      </c>
      <c r="J78" s="5"/>
    </row>
    <row r="79" spans="1:10" x14ac:dyDescent="0.3">
      <c r="A79" s="26">
        <v>46329</v>
      </c>
      <c r="B79" s="5" t="s">
        <v>90</v>
      </c>
      <c r="C79" s="5">
        <v>45</v>
      </c>
      <c r="D79" s="5" t="s">
        <v>25</v>
      </c>
      <c r="E79" s="5" t="s">
        <v>32</v>
      </c>
      <c r="F79" s="28" t="s">
        <v>40</v>
      </c>
      <c r="G79" s="11">
        <v>9</v>
      </c>
      <c r="H79" s="29"/>
      <c r="I79" s="11" t="str">
        <f t="shared" si="2"/>
        <v/>
      </c>
      <c r="J79" s="5"/>
    </row>
    <row r="80" spans="1:10" x14ac:dyDescent="0.3">
      <c r="A80" s="26">
        <v>46330</v>
      </c>
      <c r="B80" s="5" t="s">
        <v>86</v>
      </c>
      <c r="C80" s="5">
        <v>45</v>
      </c>
      <c r="D80" s="5" t="s">
        <v>24</v>
      </c>
      <c r="E80" s="5" t="s">
        <v>32</v>
      </c>
      <c r="F80" s="28" t="s">
        <v>40</v>
      </c>
      <c r="G80" s="11">
        <v>8</v>
      </c>
      <c r="H80" s="29"/>
      <c r="I80" s="11" t="str">
        <f t="shared" si="2"/>
        <v/>
      </c>
      <c r="J80" s="5"/>
    </row>
    <row r="81" spans="1:10" x14ac:dyDescent="0.3">
      <c r="A81" s="26">
        <v>46330</v>
      </c>
      <c r="B81" s="5" t="s">
        <v>86</v>
      </c>
      <c r="C81" s="5">
        <v>45</v>
      </c>
      <c r="D81" s="5" t="s">
        <v>25</v>
      </c>
      <c r="E81" s="5" t="s">
        <v>32</v>
      </c>
      <c r="F81" s="28" t="s">
        <v>40</v>
      </c>
      <c r="G81" s="11">
        <v>8</v>
      </c>
      <c r="H81" s="29"/>
      <c r="I81" s="11" t="str">
        <f t="shared" si="2"/>
        <v/>
      </c>
      <c r="J81" s="5"/>
    </row>
    <row r="82" spans="1:10" x14ac:dyDescent="0.3">
      <c r="A82" s="26">
        <v>46331</v>
      </c>
      <c r="B82" s="5" t="s">
        <v>88</v>
      </c>
      <c r="C82" s="5">
        <v>45</v>
      </c>
      <c r="D82" s="5" t="s">
        <v>24</v>
      </c>
      <c r="E82" s="5" t="s">
        <v>32</v>
      </c>
      <c r="F82" s="28" t="s">
        <v>40</v>
      </c>
      <c r="G82" s="11">
        <v>8</v>
      </c>
      <c r="H82" s="29"/>
      <c r="I82" s="11" t="str">
        <f t="shared" si="2"/>
        <v/>
      </c>
      <c r="J82" s="5"/>
    </row>
    <row r="83" spans="1:10" x14ac:dyDescent="0.3">
      <c r="A83" s="26">
        <v>46331</v>
      </c>
      <c r="B83" s="5" t="s">
        <v>88</v>
      </c>
      <c r="C83" s="5">
        <v>45</v>
      </c>
      <c r="D83" s="5" t="s">
        <v>24</v>
      </c>
      <c r="E83" s="5" t="s">
        <v>32</v>
      </c>
      <c r="F83" s="31" t="s">
        <v>41</v>
      </c>
      <c r="G83" s="11">
        <v>9</v>
      </c>
      <c r="H83" s="29"/>
      <c r="I83" s="11" t="str">
        <f t="shared" si="2"/>
        <v/>
      </c>
      <c r="J83" s="5"/>
    </row>
    <row r="84" spans="1:10" x14ac:dyDescent="0.3">
      <c r="A84" s="26">
        <v>46331</v>
      </c>
      <c r="B84" s="5" t="s">
        <v>88</v>
      </c>
      <c r="C84" s="5">
        <v>45</v>
      </c>
      <c r="D84" s="5" t="s">
        <v>25</v>
      </c>
      <c r="E84" s="5" t="s">
        <v>32</v>
      </c>
      <c r="F84" s="28" t="s">
        <v>40</v>
      </c>
      <c r="G84" s="11">
        <v>8</v>
      </c>
      <c r="H84" s="29"/>
      <c r="I84" s="11" t="str">
        <f t="shared" si="2"/>
        <v/>
      </c>
      <c r="J84" s="5"/>
    </row>
    <row r="85" spans="1:10" x14ac:dyDescent="0.3">
      <c r="A85" s="26">
        <v>46331</v>
      </c>
      <c r="B85" s="5" t="s">
        <v>88</v>
      </c>
      <c r="C85" s="5">
        <v>45</v>
      </c>
      <c r="D85" s="5" t="s">
        <v>25</v>
      </c>
      <c r="E85" s="5" t="s">
        <v>32</v>
      </c>
      <c r="F85" s="31" t="s">
        <v>41</v>
      </c>
      <c r="G85" s="11">
        <v>9</v>
      </c>
      <c r="H85" s="29"/>
      <c r="I85" s="11" t="str">
        <f t="shared" si="2"/>
        <v/>
      </c>
      <c r="J85" s="5"/>
    </row>
    <row r="86" spans="1:10" x14ac:dyDescent="0.3">
      <c r="A86" s="26">
        <v>46332</v>
      </c>
      <c r="B86" s="5" t="s">
        <v>89</v>
      </c>
      <c r="C86" s="5">
        <v>45</v>
      </c>
      <c r="D86" s="5" t="s">
        <v>24</v>
      </c>
      <c r="E86" s="5" t="s">
        <v>32</v>
      </c>
      <c r="F86" s="31" t="s">
        <v>41</v>
      </c>
      <c r="G86" s="11">
        <v>8</v>
      </c>
      <c r="H86" s="29"/>
      <c r="I86" s="11" t="str">
        <f t="shared" si="2"/>
        <v/>
      </c>
      <c r="J86" s="5"/>
    </row>
    <row r="87" spans="1:10" x14ac:dyDescent="0.3">
      <c r="A87" s="26">
        <v>46332</v>
      </c>
      <c r="B87" s="5" t="s">
        <v>89</v>
      </c>
      <c r="C87" s="5">
        <v>45</v>
      </c>
      <c r="D87" s="5" t="s">
        <v>25</v>
      </c>
      <c r="E87" s="5" t="s">
        <v>32</v>
      </c>
      <c r="F87" s="31" t="s">
        <v>41</v>
      </c>
      <c r="G87" s="11">
        <v>8</v>
      </c>
      <c r="H87" s="29"/>
      <c r="I87" s="11" t="str">
        <f t="shared" si="2"/>
        <v/>
      </c>
      <c r="J87" s="5"/>
    </row>
    <row r="88" spans="1:10" x14ac:dyDescent="0.3">
      <c r="A88" s="26">
        <v>46335</v>
      </c>
      <c r="B88" s="5" t="s">
        <v>69</v>
      </c>
      <c r="C88" s="5">
        <v>46</v>
      </c>
      <c r="D88" s="5" t="s">
        <v>24</v>
      </c>
      <c r="E88" s="5" t="s">
        <v>32</v>
      </c>
      <c r="F88" s="31" t="s">
        <v>41</v>
      </c>
      <c r="G88" s="11">
        <v>8</v>
      </c>
      <c r="H88" s="29"/>
      <c r="I88" s="11" t="str">
        <f t="shared" si="2"/>
        <v/>
      </c>
      <c r="J88" s="5"/>
    </row>
    <row r="89" spans="1:10" x14ac:dyDescent="0.3">
      <c r="A89" s="26">
        <v>46335</v>
      </c>
      <c r="B89" s="5" t="s">
        <v>69</v>
      </c>
      <c r="C89" s="5">
        <v>46</v>
      </c>
      <c r="D89" s="5" t="s">
        <v>24</v>
      </c>
      <c r="E89" s="5" t="s">
        <v>32</v>
      </c>
      <c r="F89" s="32" t="s">
        <v>42</v>
      </c>
      <c r="G89" s="11">
        <v>9</v>
      </c>
      <c r="H89" s="29"/>
      <c r="I89" s="11" t="str">
        <f t="shared" si="2"/>
        <v/>
      </c>
      <c r="J89" s="5"/>
    </row>
    <row r="90" spans="1:10" x14ac:dyDescent="0.3">
      <c r="A90" s="26">
        <v>46335</v>
      </c>
      <c r="B90" s="5" t="s">
        <v>69</v>
      </c>
      <c r="C90" s="5">
        <v>46</v>
      </c>
      <c r="D90" s="5" t="s">
        <v>25</v>
      </c>
      <c r="E90" s="5" t="s">
        <v>32</v>
      </c>
      <c r="F90" s="31" t="s">
        <v>41</v>
      </c>
      <c r="G90" s="11">
        <v>8</v>
      </c>
      <c r="H90" s="29"/>
      <c r="I90" s="11" t="str">
        <f t="shared" si="2"/>
        <v/>
      </c>
      <c r="J90" s="5"/>
    </row>
    <row r="91" spans="1:10" x14ac:dyDescent="0.3">
      <c r="A91" s="26">
        <v>46335</v>
      </c>
      <c r="B91" s="5" t="s">
        <v>69</v>
      </c>
      <c r="C91" s="5">
        <v>46</v>
      </c>
      <c r="D91" s="5" t="s">
        <v>25</v>
      </c>
      <c r="E91" s="5" t="s">
        <v>32</v>
      </c>
      <c r="F91" s="32" t="s">
        <v>42</v>
      </c>
      <c r="G91" s="11">
        <v>9</v>
      </c>
      <c r="H91" s="29"/>
      <c r="I91" s="11" t="str">
        <f t="shared" si="2"/>
        <v/>
      </c>
      <c r="J91" s="5"/>
    </row>
    <row r="92" spans="1:10" x14ac:dyDescent="0.3">
      <c r="A92" s="26">
        <v>46336</v>
      </c>
      <c r="B92" s="5" t="s">
        <v>90</v>
      </c>
      <c r="C92" s="5">
        <v>46</v>
      </c>
      <c r="D92" s="5" t="s">
        <v>24</v>
      </c>
      <c r="E92" s="5" t="s">
        <v>32</v>
      </c>
      <c r="F92" s="32" t="s">
        <v>42</v>
      </c>
      <c r="G92" s="11">
        <v>8</v>
      </c>
      <c r="H92" s="29"/>
      <c r="I92" s="11" t="str">
        <f t="shared" si="2"/>
        <v/>
      </c>
      <c r="J92" s="5"/>
    </row>
    <row r="93" spans="1:10" x14ac:dyDescent="0.3">
      <c r="A93" s="26">
        <v>46336</v>
      </c>
      <c r="B93" s="5" t="s">
        <v>90</v>
      </c>
      <c r="C93" s="5">
        <v>46</v>
      </c>
      <c r="D93" s="5" t="s">
        <v>25</v>
      </c>
      <c r="E93" s="5" t="s">
        <v>32</v>
      </c>
      <c r="F93" s="32" t="s">
        <v>42</v>
      </c>
      <c r="G93" s="11">
        <v>8</v>
      </c>
      <c r="H93" s="29"/>
      <c r="I93" s="11" t="str">
        <f t="shared" si="2"/>
        <v/>
      </c>
      <c r="J93" s="5"/>
    </row>
    <row r="94" spans="1:10" x14ac:dyDescent="0.3">
      <c r="A94" s="26">
        <v>46337</v>
      </c>
      <c r="B94" s="5" t="s">
        <v>86</v>
      </c>
      <c r="C94" s="5">
        <v>46</v>
      </c>
      <c r="D94" s="5" t="s">
        <v>24</v>
      </c>
      <c r="E94" s="5" t="s">
        <v>32</v>
      </c>
      <c r="F94" s="32" t="s">
        <v>42</v>
      </c>
      <c r="G94" s="11">
        <v>8</v>
      </c>
      <c r="H94" s="29"/>
      <c r="I94" s="11" t="str">
        <f t="shared" si="2"/>
        <v/>
      </c>
      <c r="J94" s="5"/>
    </row>
    <row r="95" spans="1:10" x14ac:dyDescent="0.3">
      <c r="A95" s="26">
        <v>46337</v>
      </c>
      <c r="B95" s="5" t="s">
        <v>86</v>
      </c>
      <c r="C95" s="5">
        <v>46</v>
      </c>
      <c r="D95" s="5" t="s">
        <v>24</v>
      </c>
      <c r="E95" s="5" t="s">
        <v>32</v>
      </c>
      <c r="F95" s="33" t="s">
        <v>43</v>
      </c>
      <c r="G95" s="11">
        <v>9</v>
      </c>
      <c r="H95" s="29"/>
      <c r="I95" s="11" t="str">
        <f t="shared" si="2"/>
        <v/>
      </c>
      <c r="J95" s="5"/>
    </row>
    <row r="96" spans="1:10" x14ac:dyDescent="0.3">
      <c r="A96" s="26">
        <v>46337</v>
      </c>
      <c r="B96" s="5" t="s">
        <v>86</v>
      </c>
      <c r="C96" s="5">
        <v>46</v>
      </c>
      <c r="D96" s="5" t="s">
        <v>25</v>
      </c>
      <c r="E96" s="5" t="s">
        <v>32</v>
      </c>
      <c r="F96" s="32" t="s">
        <v>42</v>
      </c>
      <c r="G96" s="11">
        <v>8</v>
      </c>
      <c r="H96" s="29"/>
      <c r="I96" s="11" t="str">
        <f t="shared" si="2"/>
        <v/>
      </c>
      <c r="J96" s="5"/>
    </row>
    <row r="97" spans="1:10" x14ac:dyDescent="0.3">
      <c r="A97" s="26">
        <v>46337</v>
      </c>
      <c r="B97" s="5" t="s">
        <v>86</v>
      </c>
      <c r="C97" s="5">
        <v>46</v>
      </c>
      <c r="D97" s="5" t="s">
        <v>25</v>
      </c>
      <c r="E97" s="5" t="s">
        <v>32</v>
      </c>
      <c r="F97" s="33" t="s">
        <v>43</v>
      </c>
      <c r="G97" s="11">
        <v>9</v>
      </c>
      <c r="H97" s="29"/>
      <c r="I97" s="11" t="str">
        <f t="shared" si="2"/>
        <v/>
      </c>
      <c r="J97" s="5"/>
    </row>
    <row r="98" spans="1:10" x14ac:dyDescent="0.3">
      <c r="A98" s="26">
        <v>46338</v>
      </c>
      <c r="B98" s="5" t="s">
        <v>88</v>
      </c>
      <c r="C98" s="5">
        <v>46</v>
      </c>
      <c r="D98" s="5" t="s">
        <v>24</v>
      </c>
      <c r="E98" s="5" t="s">
        <v>32</v>
      </c>
      <c r="F98" s="33" t="s">
        <v>43</v>
      </c>
      <c r="G98" s="11">
        <v>8</v>
      </c>
      <c r="H98" s="29"/>
      <c r="I98" s="11" t="str">
        <f t="shared" ref="I98:I127" si="3">IF(H98="","",H98-G98)</f>
        <v/>
      </c>
      <c r="J98" s="5"/>
    </row>
    <row r="99" spans="1:10" x14ac:dyDescent="0.3">
      <c r="A99" s="26">
        <v>46338</v>
      </c>
      <c r="B99" s="5" t="s">
        <v>88</v>
      </c>
      <c r="C99" s="5">
        <v>46</v>
      </c>
      <c r="D99" s="5" t="s">
        <v>25</v>
      </c>
      <c r="E99" s="5" t="s">
        <v>32</v>
      </c>
      <c r="F99" s="33" t="s">
        <v>43</v>
      </c>
      <c r="G99" s="11">
        <v>8</v>
      </c>
      <c r="H99" s="29"/>
      <c r="I99" s="11" t="str">
        <f t="shared" si="3"/>
        <v/>
      </c>
      <c r="J99" s="5"/>
    </row>
    <row r="100" spans="1:10" x14ac:dyDescent="0.3">
      <c r="A100" s="26">
        <v>46339</v>
      </c>
      <c r="B100" s="5" t="s">
        <v>89</v>
      </c>
      <c r="C100" s="5">
        <v>46</v>
      </c>
      <c r="D100" s="5" t="s">
        <v>24</v>
      </c>
      <c r="E100" s="5" t="s">
        <v>32</v>
      </c>
      <c r="F100" s="33" t="s">
        <v>43</v>
      </c>
      <c r="G100" s="11">
        <v>8</v>
      </c>
      <c r="H100" s="29"/>
      <c r="I100" s="11" t="str">
        <f t="shared" si="3"/>
        <v/>
      </c>
      <c r="J100" s="5"/>
    </row>
    <row r="101" spans="1:10" x14ac:dyDescent="0.3">
      <c r="A101" s="26">
        <v>46339</v>
      </c>
      <c r="B101" s="5" t="s">
        <v>89</v>
      </c>
      <c r="C101" s="5">
        <v>46</v>
      </c>
      <c r="D101" s="5" t="s">
        <v>25</v>
      </c>
      <c r="E101" s="5" t="s">
        <v>32</v>
      </c>
      <c r="F101" s="33" t="s">
        <v>43</v>
      </c>
      <c r="G101" s="11">
        <v>8</v>
      </c>
      <c r="H101" s="29"/>
      <c r="I101" s="11" t="str">
        <f t="shared" si="3"/>
        <v/>
      </c>
      <c r="J101" s="5"/>
    </row>
    <row r="102" spans="1:10" x14ac:dyDescent="0.3">
      <c r="A102" s="26">
        <v>46343</v>
      </c>
      <c r="B102" s="5" t="s">
        <v>90</v>
      </c>
      <c r="C102" s="5">
        <v>47</v>
      </c>
      <c r="D102" s="5" t="s">
        <v>24</v>
      </c>
      <c r="E102" s="5" t="s">
        <v>34</v>
      </c>
      <c r="F102" s="28" t="s">
        <v>40</v>
      </c>
      <c r="G102" s="11">
        <v>7</v>
      </c>
      <c r="H102" s="29"/>
      <c r="I102" s="11" t="str">
        <f t="shared" si="3"/>
        <v/>
      </c>
      <c r="J102" s="5"/>
    </row>
    <row r="103" spans="1:10" x14ac:dyDescent="0.3">
      <c r="A103" s="26">
        <v>46343</v>
      </c>
      <c r="B103" s="5" t="s">
        <v>90</v>
      </c>
      <c r="C103" s="5">
        <v>47</v>
      </c>
      <c r="D103" s="5" t="s">
        <v>25</v>
      </c>
      <c r="E103" s="5" t="s">
        <v>34</v>
      </c>
      <c r="F103" s="28" t="s">
        <v>40</v>
      </c>
      <c r="G103" s="11">
        <v>7</v>
      </c>
      <c r="H103" s="29"/>
      <c r="I103" s="11" t="str">
        <f t="shared" si="3"/>
        <v/>
      </c>
      <c r="J103" s="5"/>
    </row>
    <row r="104" spans="1:10" x14ac:dyDescent="0.3">
      <c r="A104" s="26">
        <v>46344</v>
      </c>
      <c r="B104" s="5" t="s">
        <v>86</v>
      </c>
      <c r="C104" s="5">
        <v>47</v>
      </c>
      <c r="D104" s="5" t="s">
        <v>24</v>
      </c>
      <c r="E104" s="5" t="s">
        <v>34</v>
      </c>
      <c r="F104" s="28" t="s">
        <v>40</v>
      </c>
      <c r="G104" s="11">
        <v>6</v>
      </c>
      <c r="H104" s="29"/>
      <c r="I104" s="11" t="str">
        <f t="shared" si="3"/>
        <v/>
      </c>
      <c r="J104" s="5"/>
    </row>
    <row r="105" spans="1:10" x14ac:dyDescent="0.3">
      <c r="A105" s="26">
        <v>46344</v>
      </c>
      <c r="B105" s="5" t="s">
        <v>86</v>
      </c>
      <c r="C105" s="5">
        <v>47</v>
      </c>
      <c r="D105" s="5" t="s">
        <v>25</v>
      </c>
      <c r="E105" s="5" t="s">
        <v>34</v>
      </c>
      <c r="F105" s="28" t="s">
        <v>40</v>
      </c>
      <c r="G105" s="11">
        <v>6</v>
      </c>
      <c r="H105" s="29"/>
      <c r="I105" s="11" t="str">
        <f t="shared" si="3"/>
        <v/>
      </c>
      <c r="J105" s="5"/>
    </row>
    <row r="106" spans="1:10" x14ac:dyDescent="0.3">
      <c r="A106" s="26">
        <v>46345</v>
      </c>
      <c r="B106" s="5" t="s">
        <v>88</v>
      </c>
      <c r="C106" s="5">
        <v>47</v>
      </c>
      <c r="D106" s="5" t="s">
        <v>24</v>
      </c>
      <c r="E106" s="5" t="s">
        <v>34</v>
      </c>
      <c r="F106" s="28" t="s">
        <v>40</v>
      </c>
      <c r="G106" s="11">
        <v>6</v>
      </c>
      <c r="H106" s="29"/>
      <c r="I106" s="11" t="str">
        <f t="shared" si="3"/>
        <v/>
      </c>
      <c r="J106" s="5"/>
    </row>
    <row r="107" spans="1:10" x14ac:dyDescent="0.3">
      <c r="A107" s="26">
        <v>46345</v>
      </c>
      <c r="B107" s="5" t="s">
        <v>88</v>
      </c>
      <c r="C107" s="5">
        <v>47</v>
      </c>
      <c r="D107" s="5" t="s">
        <v>25</v>
      </c>
      <c r="E107" s="5" t="s">
        <v>34</v>
      </c>
      <c r="F107" s="28" t="s">
        <v>40</v>
      </c>
      <c r="G107" s="11">
        <v>6</v>
      </c>
      <c r="H107" s="29"/>
      <c r="I107" s="11" t="str">
        <f t="shared" si="3"/>
        <v/>
      </c>
      <c r="J107" s="5"/>
    </row>
    <row r="108" spans="1:10" x14ac:dyDescent="0.3">
      <c r="A108" s="26">
        <v>46346</v>
      </c>
      <c r="B108" s="5" t="s">
        <v>89</v>
      </c>
      <c r="C108" s="5">
        <v>47</v>
      </c>
      <c r="D108" s="5" t="s">
        <v>24</v>
      </c>
      <c r="E108" s="5" t="s">
        <v>34</v>
      </c>
      <c r="F108" s="28" t="s">
        <v>40</v>
      </c>
      <c r="G108" s="11">
        <v>6</v>
      </c>
      <c r="H108" s="29"/>
      <c r="I108" s="11" t="str">
        <f t="shared" si="3"/>
        <v/>
      </c>
      <c r="J108" s="5"/>
    </row>
    <row r="109" spans="1:10" x14ac:dyDescent="0.3">
      <c r="A109" s="26">
        <v>46346</v>
      </c>
      <c r="B109" s="5" t="s">
        <v>89</v>
      </c>
      <c r="C109" s="5">
        <v>47</v>
      </c>
      <c r="D109" s="5" t="s">
        <v>24</v>
      </c>
      <c r="E109" s="5" t="s">
        <v>34</v>
      </c>
      <c r="F109" s="31" t="s">
        <v>41</v>
      </c>
      <c r="G109" s="11">
        <v>9</v>
      </c>
      <c r="H109" s="29"/>
      <c r="I109" s="11" t="str">
        <f t="shared" si="3"/>
        <v/>
      </c>
      <c r="J109" s="5"/>
    </row>
    <row r="110" spans="1:10" x14ac:dyDescent="0.3">
      <c r="A110" s="26">
        <v>46346</v>
      </c>
      <c r="B110" s="5" t="s">
        <v>89</v>
      </c>
      <c r="C110" s="5">
        <v>47</v>
      </c>
      <c r="D110" s="5" t="s">
        <v>25</v>
      </c>
      <c r="E110" s="5" t="s">
        <v>34</v>
      </c>
      <c r="F110" s="28" t="s">
        <v>40</v>
      </c>
      <c r="G110" s="11">
        <v>6</v>
      </c>
      <c r="H110" s="29"/>
      <c r="I110" s="11" t="str">
        <f t="shared" si="3"/>
        <v/>
      </c>
      <c r="J110" s="5"/>
    </row>
    <row r="111" spans="1:10" x14ac:dyDescent="0.3">
      <c r="A111" s="26">
        <v>46346</v>
      </c>
      <c r="B111" s="5" t="s">
        <v>89</v>
      </c>
      <c r="C111" s="5">
        <v>47</v>
      </c>
      <c r="D111" s="5" t="s">
        <v>25</v>
      </c>
      <c r="E111" s="5" t="s">
        <v>34</v>
      </c>
      <c r="F111" s="31" t="s">
        <v>41</v>
      </c>
      <c r="G111" s="11">
        <v>9</v>
      </c>
      <c r="H111" s="29"/>
      <c r="I111" s="11" t="str">
        <f t="shared" si="3"/>
        <v/>
      </c>
      <c r="J111" s="5"/>
    </row>
    <row r="112" spans="1:10" x14ac:dyDescent="0.3">
      <c r="A112" s="26">
        <v>46349</v>
      </c>
      <c r="B112" s="5" t="s">
        <v>69</v>
      </c>
      <c r="C112" s="5">
        <v>48</v>
      </c>
      <c r="D112" s="5" t="s">
        <v>24</v>
      </c>
      <c r="E112" s="5" t="s">
        <v>34</v>
      </c>
      <c r="F112" s="31" t="s">
        <v>41</v>
      </c>
      <c r="G112" s="11">
        <v>8</v>
      </c>
      <c r="H112" s="29"/>
      <c r="I112" s="11" t="str">
        <f t="shared" si="3"/>
        <v/>
      </c>
      <c r="J112" s="5"/>
    </row>
    <row r="113" spans="1:10" x14ac:dyDescent="0.3">
      <c r="A113" s="26">
        <v>46349</v>
      </c>
      <c r="B113" s="5" t="s">
        <v>69</v>
      </c>
      <c r="C113" s="5">
        <v>48</v>
      </c>
      <c r="D113" s="5" t="s">
        <v>25</v>
      </c>
      <c r="E113" s="5" t="s">
        <v>34</v>
      </c>
      <c r="F113" s="31" t="s">
        <v>41</v>
      </c>
      <c r="G113" s="11">
        <v>8</v>
      </c>
      <c r="H113" s="29"/>
      <c r="I113" s="11" t="str">
        <f t="shared" si="3"/>
        <v/>
      </c>
      <c r="J113" s="5"/>
    </row>
    <row r="114" spans="1:10" x14ac:dyDescent="0.3">
      <c r="A114" s="26">
        <v>46350</v>
      </c>
      <c r="B114" s="5" t="s">
        <v>90</v>
      </c>
      <c r="C114" s="5">
        <v>48</v>
      </c>
      <c r="D114" s="5" t="s">
        <v>24</v>
      </c>
      <c r="E114" s="5" t="s">
        <v>34</v>
      </c>
      <c r="F114" s="31" t="s">
        <v>41</v>
      </c>
      <c r="G114" s="11">
        <v>8</v>
      </c>
      <c r="H114" s="29"/>
      <c r="I114" s="11" t="str">
        <f t="shared" si="3"/>
        <v/>
      </c>
      <c r="J114" s="5"/>
    </row>
    <row r="115" spans="1:10" x14ac:dyDescent="0.3">
      <c r="A115" s="26">
        <v>46350</v>
      </c>
      <c r="B115" s="5" t="s">
        <v>90</v>
      </c>
      <c r="C115" s="5">
        <v>48</v>
      </c>
      <c r="D115" s="5" t="s">
        <v>24</v>
      </c>
      <c r="E115" s="5" t="s">
        <v>34</v>
      </c>
      <c r="F115" s="32" t="s">
        <v>42</v>
      </c>
      <c r="G115" s="11">
        <v>9</v>
      </c>
      <c r="H115" s="29"/>
      <c r="I115" s="11" t="str">
        <f t="shared" si="3"/>
        <v/>
      </c>
      <c r="J115" s="5"/>
    </row>
    <row r="116" spans="1:10" x14ac:dyDescent="0.3">
      <c r="A116" s="26">
        <v>46350</v>
      </c>
      <c r="B116" s="5" t="s">
        <v>90</v>
      </c>
      <c r="C116" s="5">
        <v>48</v>
      </c>
      <c r="D116" s="5" t="s">
        <v>25</v>
      </c>
      <c r="E116" s="5" t="s">
        <v>34</v>
      </c>
      <c r="F116" s="31" t="s">
        <v>41</v>
      </c>
      <c r="G116" s="11">
        <v>8</v>
      </c>
      <c r="H116" s="29"/>
      <c r="I116" s="11" t="str">
        <f t="shared" si="3"/>
        <v/>
      </c>
      <c r="J116" s="5"/>
    </row>
    <row r="117" spans="1:10" x14ac:dyDescent="0.3">
      <c r="A117" s="26">
        <v>46350</v>
      </c>
      <c r="B117" s="5" t="s">
        <v>90</v>
      </c>
      <c r="C117" s="5">
        <v>48</v>
      </c>
      <c r="D117" s="5" t="s">
        <v>25</v>
      </c>
      <c r="E117" s="5" t="s">
        <v>34</v>
      </c>
      <c r="F117" s="32" t="s">
        <v>42</v>
      </c>
      <c r="G117" s="11">
        <v>9</v>
      </c>
      <c r="H117" s="29"/>
      <c r="I117" s="11" t="str">
        <f t="shared" si="3"/>
        <v/>
      </c>
      <c r="J117" s="5"/>
    </row>
    <row r="118" spans="1:10" x14ac:dyDescent="0.3">
      <c r="A118" s="26">
        <v>46351</v>
      </c>
      <c r="B118" s="5" t="s">
        <v>86</v>
      </c>
      <c r="C118" s="5">
        <v>48</v>
      </c>
      <c r="D118" s="5" t="s">
        <v>24</v>
      </c>
      <c r="E118" s="5" t="s">
        <v>34</v>
      </c>
      <c r="F118" s="32" t="s">
        <v>42</v>
      </c>
      <c r="G118" s="11">
        <v>8</v>
      </c>
      <c r="H118" s="29"/>
      <c r="I118" s="11" t="str">
        <f t="shared" si="3"/>
        <v/>
      </c>
      <c r="J118" s="5"/>
    </row>
    <row r="119" spans="1:10" x14ac:dyDescent="0.3">
      <c r="A119" s="26">
        <v>46351</v>
      </c>
      <c r="B119" s="5" t="s">
        <v>86</v>
      </c>
      <c r="C119" s="5">
        <v>48</v>
      </c>
      <c r="D119" s="5" t="s">
        <v>25</v>
      </c>
      <c r="E119" s="5" t="s">
        <v>34</v>
      </c>
      <c r="F119" s="32" t="s">
        <v>42</v>
      </c>
      <c r="G119" s="11">
        <v>8</v>
      </c>
      <c r="H119" s="29"/>
      <c r="I119" s="11" t="str">
        <f t="shared" si="3"/>
        <v/>
      </c>
      <c r="J119" s="5"/>
    </row>
    <row r="120" spans="1:10" x14ac:dyDescent="0.3">
      <c r="A120" s="26">
        <v>46352</v>
      </c>
      <c r="B120" s="5" t="s">
        <v>88</v>
      </c>
      <c r="C120" s="5">
        <v>48</v>
      </c>
      <c r="D120" s="5" t="s">
        <v>24</v>
      </c>
      <c r="E120" s="5" t="s">
        <v>34</v>
      </c>
      <c r="F120" s="32" t="s">
        <v>42</v>
      </c>
      <c r="G120" s="11">
        <v>8</v>
      </c>
      <c r="H120" s="29"/>
      <c r="I120" s="11" t="str">
        <f t="shared" si="3"/>
        <v/>
      </c>
      <c r="J120" s="5"/>
    </row>
    <row r="121" spans="1:10" x14ac:dyDescent="0.3">
      <c r="A121" s="26">
        <v>46352</v>
      </c>
      <c r="B121" s="5" t="s">
        <v>88</v>
      </c>
      <c r="C121" s="5">
        <v>48</v>
      </c>
      <c r="D121" s="5" t="s">
        <v>24</v>
      </c>
      <c r="E121" s="5" t="s">
        <v>34</v>
      </c>
      <c r="F121" s="33" t="s">
        <v>43</v>
      </c>
      <c r="G121" s="11">
        <v>9</v>
      </c>
      <c r="H121" s="29"/>
      <c r="I121" s="11" t="str">
        <f t="shared" si="3"/>
        <v/>
      </c>
      <c r="J121" s="5"/>
    </row>
    <row r="122" spans="1:10" x14ac:dyDescent="0.3">
      <c r="A122" s="26">
        <v>46352</v>
      </c>
      <c r="B122" s="5" t="s">
        <v>88</v>
      </c>
      <c r="C122" s="5">
        <v>48</v>
      </c>
      <c r="D122" s="5" t="s">
        <v>25</v>
      </c>
      <c r="E122" s="5" t="s">
        <v>34</v>
      </c>
      <c r="F122" s="32" t="s">
        <v>42</v>
      </c>
      <c r="G122" s="11">
        <v>8</v>
      </c>
      <c r="H122" s="29"/>
      <c r="I122" s="11" t="str">
        <f t="shared" si="3"/>
        <v/>
      </c>
      <c r="J122" s="5"/>
    </row>
    <row r="123" spans="1:10" x14ac:dyDescent="0.3">
      <c r="A123" s="26">
        <v>46352</v>
      </c>
      <c r="B123" s="5" t="s">
        <v>88</v>
      </c>
      <c r="C123" s="5">
        <v>48</v>
      </c>
      <c r="D123" s="5" t="s">
        <v>25</v>
      </c>
      <c r="E123" s="5" t="s">
        <v>34</v>
      </c>
      <c r="F123" s="33" t="s">
        <v>43</v>
      </c>
      <c r="G123" s="11">
        <v>9</v>
      </c>
      <c r="H123" s="29"/>
      <c r="I123" s="11" t="str">
        <f t="shared" si="3"/>
        <v/>
      </c>
      <c r="J123" s="5"/>
    </row>
    <row r="124" spans="1:10" x14ac:dyDescent="0.3">
      <c r="A124" s="26">
        <v>46353</v>
      </c>
      <c r="B124" s="5" t="s">
        <v>89</v>
      </c>
      <c r="C124" s="5">
        <v>48</v>
      </c>
      <c r="D124" s="5" t="s">
        <v>24</v>
      </c>
      <c r="E124" s="5" t="s">
        <v>34</v>
      </c>
      <c r="F124" s="33" t="s">
        <v>43</v>
      </c>
      <c r="G124" s="11">
        <v>8</v>
      </c>
      <c r="H124" s="29"/>
      <c r="I124" s="11" t="str">
        <f t="shared" si="3"/>
        <v/>
      </c>
      <c r="J124" s="5"/>
    </row>
    <row r="125" spans="1:10" x14ac:dyDescent="0.3">
      <c r="A125" s="26">
        <v>46353</v>
      </c>
      <c r="B125" s="5" t="s">
        <v>89</v>
      </c>
      <c r="C125" s="5">
        <v>48</v>
      </c>
      <c r="D125" s="5" t="s">
        <v>25</v>
      </c>
      <c r="E125" s="5" t="s">
        <v>34</v>
      </c>
      <c r="F125" s="33" t="s">
        <v>43</v>
      </c>
      <c r="G125" s="11">
        <v>8</v>
      </c>
      <c r="H125" s="29"/>
      <c r="I125" s="11" t="str">
        <f t="shared" si="3"/>
        <v/>
      </c>
      <c r="J125" s="5"/>
    </row>
    <row r="126" spans="1:10" x14ac:dyDescent="0.3">
      <c r="A126" s="26">
        <v>46356</v>
      </c>
      <c r="B126" s="5" t="s">
        <v>69</v>
      </c>
      <c r="C126" s="5">
        <v>49</v>
      </c>
      <c r="D126" s="5" t="s">
        <v>24</v>
      </c>
      <c r="E126" s="5" t="s">
        <v>34</v>
      </c>
      <c r="F126" s="33" t="s">
        <v>43</v>
      </c>
      <c r="G126" s="11">
        <v>8</v>
      </c>
      <c r="H126" s="29"/>
      <c r="I126" s="11" t="str">
        <f t="shared" si="3"/>
        <v/>
      </c>
      <c r="J126" s="5"/>
    </row>
    <row r="127" spans="1:10" x14ac:dyDescent="0.3">
      <c r="A127" s="26">
        <v>46356</v>
      </c>
      <c r="B127" s="5" t="s">
        <v>69</v>
      </c>
      <c r="C127" s="5">
        <v>49</v>
      </c>
      <c r="D127" s="5" t="s">
        <v>25</v>
      </c>
      <c r="E127" s="5" t="s">
        <v>34</v>
      </c>
      <c r="F127" s="33" t="s">
        <v>43</v>
      </c>
      <c r="G127" s="11">
        <v>8</v>
      </c>
      <c r="H127" s="29"/>
      <c r="I127" s="11" t="str">
        <f t="shared" si="3"/>
        <v/>
      </c>
      <c r="J127" s="5"/>
    </row>
    <row r="129" spans="6:9" x14ac:dyDescent="0.3">
      <c r="F129" s="34" t="s">
        <v>36</v>
      </c>
      <c r="G129" s="34">
        <f>SUM(G2:G127)</f>
        <v>800</v>
      </c>
      <c r="H129" s="34">
        <f>SUM(H2:H127)</f>
        <v>63</v>
      </c>
      <c r="I129" s="34">
        <f>IF(H129=0,"",H129-G129)</f>
        <v>-737</v>
      </c>
    </row>
  </sheetData>
  <autoFilter ref="A1:J127" xr:uid="{00000000-0009-0000-0000-000003000000}"/>
  <conditionalFormatting sqref="I2:I127">
    <cfRule type="cellIs" dxfId="5" priority="2" operator="lessThan">
      <formula>0</formula>
    </cfRule>
    <cfRule type="cellIs" dxfId="4" priority="3" operator="greater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12"/>
  <sheetViews>
    <sheetView showGridLines="0" zoomScaleNormal="100" workbookViewId="0">
      <selection activeCell="H14" sqref="H14"/>
    </sheetView>
  </sheetViews>
  <sheetFormatPr baseColWidth="10" defaultColWidth="8.5546875" defaultRowHeight="14.4" x14ac:dyDescent="0.3"/>
  <cols>
    <col min="1" max="1" width="3" customWidth="1"/>
    <col min="2" max="2" width="10" customWidth="1"/>
    <col min="3" max="3" width="22" customWidth="1"/>
    <col min="4" max="4" width="16" customWidth="1"/>
    <col min="5" max="5" width="22" customWidth="1"/>
    <col min="6" max="9" width="14" customWidth="1"/>
  </cols>
  <sheetData>
    <row r="2" spans="2:10" ht="16.8" x14ac:dyDescent="0.3">
      <c r="B2" s="21" t="s">
        <v>91</v>
      </c>
    </row>
    <row r="3" spans="2:10" x14ac:dyDescent="0.3">
      <c r="B3" s="4" t="s">
        <v>21</v>
      </c>
      <c r="C3" s="4" t="s">
        <v>22</v>
      </c>
      <c r="D3" s="4" t="s">
        <v>80</v>
      </c>
      <c r="E3" s="4" t="s">
        <v>56</v>
      </c>
      <c r="F3" s="4" t="s">
        <v>92</v>
      </c>
      <c r="G3" s="4" t="s">
        <v>93</v>
      </c>
      <c r="H3" s="4" t="s">
        <v>94</v>
      </c>
      <c r="I3" s="4" t="s">
        <v>95</v>
      </c>
      <c r="J3" s="4" t="s">
        <v>23</v>
      </c>
    </row>
    <row r="4" spans="2:10" x14ac:dyDescent="0.3">
      <c r="B4" s="10" t="s">
        <v>28</v>
      </c>
      <c r="C4" s="5" t="s">
        <v>29</v>
      </c>
      <c r="D4" s="5" t="s">
        <v>24</v>
      </c>
      <c r="E4" s="5" t="s">
        <v>96</v>
      </c>
      <c r="F4" s="5" t="s">
        <v>97</v>
      </c>
      <c r="G4" s="11">
        <v>25</v>
      </c>
      <c r="H4" s="26">
        <v>46281</v>
      </c>
      <c r="I4" s="26">
        <v>46310</v>
      </c>
      <c r="J4" s="11">
        <v>21</v>
      </c>
    </row>
    <row r="5" spans="2:10" x14ac:dyDescent="0.3">
      <c r="B5" s="10" t="s">
        <v>28</v>
      </c>
      <c r="C5" s="5" t="s">
        <v>29</v>
      </c>
      <c r="D5" s="5" t="s">
        <v>25</v>
      </c>
      <c r="E5" s="5" t="s">
        <v>98</v>
      </c>
      <c r="F5" s="5" t="s">
        <v>99</v>
      </c>
      <c r="G5" s="11">
        <v>25</v>
      </c>
      <c r="H5" s="26">
        <v>46281</v>
      </c>
      <c r="I5" s="26">
        <v>46310</v>
      </c>
      <c r="J5" s="11">
        <v>21</v>
      </c>
    </row>
    <row r="6" spans="2:10" x14ac:dyDescent="0.3">
      <c r="B6" s="10" t="s">
        <v>30</v>
      </c>
      <c r="C6" s="5" t="s">
        <v>31</v>
      </c>
      <c r="D6" s="5" t="s">
        <v>24</v>
      </c>
      <c r="E6" s="5" t="s">
        <v>96</v>
      </c>
      <c r="F6" s="5" t="s">
        <v>100</v>
      </c>
      <c r="G6" s="11">
        <v>25</v>
      </c>
      <c r="H6" s="26">
        <v>46311</v>
      </c>
      <c r="I6" s="26">
        <v>46325</v>
      </c>
      <c r="J6" s="11">
        <v>11</v>
      </c>
    </row>
    <row r="7" spans="2:10" x14ac:dyDescent="0.3">
      <c r="B7" s="10" t="s">
        <v>30</v>
      </c>
      <c r="C7" s="5" t="s">
        <v>31</v>
      </c>
      <c r="D7" s="5" t="s">
        <v>25</v>
      </c>
      <c r="E7" s="5" t="s">
        <v>98</v>
      </c>
      <c r="F7" s="5" t="s">
        <v>101</v>
      </c>
      <c r="G7" s="11">
        <v>25</v>
      </c>
      <c r="H7" s="26">
        <v>46311</v>
      </c>
      <c r="I7" s="26">
        <v>46325</v>
      </c>
      <c r="J7" s="11">
        <v>11</v>
      </c>
    </row>
    <row r="8" spans="2:10" x14ac:dyDescent="0.3">
      <c r="B8" s="10" t="s">
        <v>32</v>
      </c>
      <c r="C8" s="5" t="s">
        <v>33</v>
      </c>
      <c r="D8" s="5" t="s">
        <v>24</v>
      </c>
      <c r="E8" s="5" t="s">
        <v>96</v>
      </c>
      <c r="F8" s="5" t="s">
        <v>102</v>
      </c>
      <c r="G8" s="11">
        <v>25</v>
      </c>
      <c r="H8" s="26">
        <v>46327</v>
      </c>
      <c r="I8" s="26">
        <v>46341</v>
      </c>
      <c r="J8" s="11">
        <v>9</v>
      </c>
    </row>
    <row r="9" spans="2:10" x14ac:dyDescent="0.3">
      <c r="B9" s="10" t="s">
        <v>32</v>
      </c>
      <c r="C9" s="5" t="s">
        <v>33</v>
      </c>
      <c r="D9" s="5" t="s">
        <v>25</v>
      </c>
      <c r="E9" s="5" t="s">
        <v>98</v>
      </c>
      <c r="F9" s="5" t="s">
        <v>103</v>
      </c>
      <c r="G9" s="11">
        <v>25</v>
      </c>
      <c r="H9" s="26">
        <v>46327</v>
      </c>
      <c r="I9" s="26">
        <v>46341</v>
      </c>
      <c r="J9" s="11">
        <v>9</v>
      </c>
    </row>
    <row r="10" spans="2:10" x14ac:dyDescent="0.3">
      <c r="B10" s="10" t="s">
        <v>34</v>
      </c>
      <c r="C10" s="5" t="s">
        <v>35</v>
      </c>
      <c r="D10" s="5" t="s">
        <v>24</v>
      </c>
      <c r="E10" s="5" t="s">
        <v>96</v>
      </c>
      <c r="F10" s="5" t="s">
        <v>104</v>
      </c>
      <c r="G10" s="11">
        <v>25</v>
      </c>
      <c r="H10" s="26">
        <v>46342</v>
      </c>
      <c r="I10" s="26">
        <v>46356</v>
      </c>
      <c r="J10" s="11">
        <v>10</v>
      </c>
    </row>
    <row r="11" spans="2:10" x14ac:dyDescent="0.3">
      <c r="B11" s="10" t="s">
        <v>34</v>
      </c>
      <c r="C11" s="5" t="s">
        <v>35</v>
      </c>
      <c r="D11" s="5" t="s">
        <v>25</v>
      </c>
      <c r="E11" s="5" t="s">
        <v>98</v>
      </c>
      <c r="F11" s="5" t="s">
        <v>105</v>
      </c>
      <c r="G11" s="11">
        <v>25</v>
      </c>
      <c r="H11" s="26">
        <v>46342</v>
      </c>
      <c r="I11" s="26">
        <v>46356</v>
      </c>
      <c r="J11" s="11">
        <v>10</v>
      </c>
    </row>
    <row r="12" spans="2:10" x14ac:dyDescent="0.3">
      <c r="B12" s="13" t="s">
        <v>36</v>
      </c>
      <c r="C12" s="14"/>
      <c r="D12" s="14"/>
      <c r="E12" s="14"/>
      <c r="F12" s="14"/>
      <c r="G12" s="15">
        <f>SUM(G4:G11)</f>
        <v>200</v>
      </c>
      <c r="H12" s="14"/>
      <c r="I12" s="14"/>
      <c r="J12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"/>
  <sheetViews>
    <sheetView showGridLines="0" zoomScaleNormal="100" workbookViewId="0">
      <pane ySplit="1" topLeftCell="A2" activePane="bottomLeft" state="frozen"/>
      <selection pane="bottomLeft" activeCell="I17" sqref="I17"/>
    </sheetView>
  </sheetViews>
  <sheetFormatPr baseColWidth="10" defaultColWidth="8.5546875" defaultRowHeight="14.4" x14ac:dyDescent="0.3"/>
  <cols>
    <col min="1" max="2" width="12" customWidth="1"/>
    <col min="3" max="3" width="10" customWidth="1"/>
    <col min="4" max="7" width="12" customWidth="1"/>
    <col min="8" max="8" width="26" customWidth="1"/>
    <col min="9" max="9" width="14" customWidth="1"/>
  </cols>
  <sheetData>
    <row r="1" spans="1:9" x14ac:dyDescent="0.3">
      <c r="A1" s="35" t="s">
        <v>66</v>
      </c>
      <c r="B1" s="35" t="s">
        <v>67</v>
      </c>
      <c r="C1" s="35" t="s">
        <v>106</v>
      </c>
      <c r="D1" s="35" t="s">
        <v>107</v>
      </c>
      <c r="E1" s="35" t="s">
        <v>108</v>
      </c>
      <c r="F1" s="35" t="s">
        <v>109</v>
      </c>
      <c r="G1" s="35" t="s">
        <v>110</v>
      </c>
      <c r="H1" s="35" t="s">
        <v>111</v>
      </c>
      <c r="I1" s="35" t="s">
        <v>112</v>
      </c>
    </row>
    <row r="2" spans="1:9" x14ac:dyDescent="0.3">
      <c r="A2" s="26">
        <v>46281</v>
      </c>
      <c r="B2" s="5" t="s">
        <v>86</v>
      </c>
      <c r="C2" s="5" t="s">
        <v>106</v>
      </c>
      <c r="D2" s="11">
        <f>SUMIFS('Bitácora diaria'!$G:$G,'Bitácora diaria'!$A:$A,$A2,'Bitácora diaria'!$F:$F,"Generación")</f>
        <v>8</v>
      </c>
      <c r="E2" s="11">
        <f>SUMIFS('Bitácora diaria'!$G:$G,'Bitácora diaria'!$A:$A,$A2,'Bitácora diaria'!$F:$F,"Revisión")</f>
        <v>0</v>
      </c>
      <c r="F2" s="11">
        <f>SUMIFS('Bitácora diaria'!$G:$G,'Bitácora diaria'!$A:$A,$A2,'Bitácora diaria'!$F:$F,"Control de calidad")</f>
        <v>0</v>
      </c>
      <c r="G2" s="11">
        <f>SUMIFS('Bitácora diaria'!$G:$G,'Bitácora diaria'!$A:$A,$A2,'Bitácora diaria'!$F:$F,"Virtualización")</f>
        <v>0</v>
      </c>
      <c r="H2" s="36"/>
      <c r="I2" s="12">
        <f t="shared" ref="I2:I33" si="0">SUM(D2:G2)</f>
        <v>8</v>
      </c>
    </row>
    <row r="3" spans="1:9" x14ac:dyDescent="0.3">
      <c r="A3" s="26">
        <v>46282</v>
      </c>
      <c r="B3" s="5" t="s">
        <v>88</v>
      </c>
      <c r="C3" s="5" t="s">
        <v>106</v>
      </c>
      <c r="D3" s="11">
        <f>SUMIFS('Bitácora diaria'!$G:$G,'Bitácora diaria'!$A:$A,$A3,'Bitácora diaria'!$F:$F,"Generación")</f>
        <v>8</v>
      </c>
      <c r="E3" s="11">
        <f>SUMIFS('Bitácora diaria'!$G:$G,'Bitácora diaria'!$A:$A,$A3,'Bitácora diaria'!$F:$F,"Revisión")</f>
        <v>0</v>
      </c>
      <c r="F3" s="11">
        <f>SUMIFS('Bitácora diaria'!$G:$G,'Bitácora diaria'!$A:$A,$A3,'Bitácora diaria'!$F:$F,"Control de calidad")</f>
        <v>0</v>
      </c>
      <c r="G3" s="11">
        <f>SUMIFS('Bitácora diaria'!$G:$G,'Bitácora diaria'!$A:$A,$A3,'Bitácora diaria'!$F:$F,"Virtualización")</f>
        <v>0</v>
      </c>
      <c r="H3" s="36"/>
      <c r="I3" s="12">
        <f t="shared" si="0"/>
        <v>8</v>
      </c>
    </row>
    <row r="4" spans="1:9" x14ac:dyDescent="0.3">
      <c r="A4" s="26">
        <v>46283</v>
      </c>
      <c r="B4" s="5" t="s">
        <v>89</v>
      </c>
      <c r="C4" s="5" t="s">
        <v>106</v>
      </c>
      <c r="D4" s="11">
        <f>SUMIFS('Bitácora diaria'!$G:$G,'Bitácora diaria'!$A:$A,$A4,'Bitácora diaria'!$F:$F,"Generación")</f>
        <v>8</v>
      </c>
      <c r="E4" s="11">
        <f>SUMIFS('Bitácora diaria'!$G:$G,'Bitácora diaria'!$A:$A,$A4,'Bitácora diaria'!$F:$F,"Revisión")</f>
        <v>0</v>
      </c>
      <c r="F4" s="11">
        <f>SUMIFS('Bitácora diaria'!$G:$G,'Bitácora diaria'!$A:$A,$A4,'Bitácora diaria'!$F:$F,"Control de calidad")</f>
        <v>0</v>
      </c>
      <c r="G4" s="11">
        <f>SUMIFS('Bitácora diaria'!$G:$G,'Bitácora diaria'!$A:$A,$A4,'Bitácora diaria'!$F:$F,"Virtualización")</f>
        <v>0</v>
      </c>
      <c r="H4" s="36"/>
      <c r="I4" s="12">
        <f t="shared" si="0"/>
        <v>8</v>
      </c>
    </row>
    <row r="5" spans="1:9" x14ac:dyDescent="0.3">
      <c r="A5" s="26">
        <v>46286</v>
      </c>
      <c r="B5" s="5" t="s">
        <v>69</v>
      </c>
      <c r="C5" s="5" t="s">
        <v>106</v>
      </c>
      <c r="D5" s="11">
        <f>SUMIFS('Bitácora diaria'!$G:$G,'Bitácora diaria'!$A:$A,$A5,'Bitácora diaria'!$F:$F,"Generación")</f>
        <v>8</v>
      </c>
      <c r="E5" s="11">
        <f>SUMIFS('Bitácora diaria'!$G:$G,'Bitácora diaria'!$A:$A,$A5,'Bitácora diaria'!$F:$F,"Revisión")</f>
        <v>0</v>
      </c>
      <c r="F5" s="11">
        <f>SUMIFS('Bitácora diaria'!$G:$G,'Bitácora diaria'!$A:$A,$A5,'Bitácora diaria'!$F:$F,"Control de calidad")</f>
        <v>0</v>
      </c>
      <c r="G5" s="11">
        <f>SUMIFS('Bitácora diaria'!$G:$G,'Bitácora diaria'!$A:$A,$A5,'Bitácora diaria'!$F:$F,"Virtualización")</f>
        <v>0</v>
      </c>
      <c r="H5" s="36"/>
      <c r="I5" s="12">
        <f t="shared" si="0"/>
        <v>8</v>
      </c>
    </row>
    <row r="6" spans="1:9" x14ac:dyDescent="0.3">
      <c r="A6" s="26">
        <v>46287</v>
      </c>
      <c r="B6" s="5" t="s">
        <v>90</v>
      </c>
      <c r="C6" s="5" t="s">
        <v>106</v>
      </c>
      <c r="D6" s="11">
        <f>SUMIFS('Bitácora diaria'!$G:$G,'Bitácora diaria'!$A:$A,$A6,'Bitácora diaria'!$F:$F,"Generación")</f>
        <v>6</v>
      </c>
      <c r="E6" s="11">
        <f>SUMIFS('Bitácora diaria'!$G:$G,'Bitácora diaria'!$A:$A,$A6,'Bitácora diaria'!$F:$F,"Revisión")</f>
        <v>0</v>
      </c>
      <c r="F6" s="11">
        <f>SUMIFS('Bitácora diaria'!$G:$G,'Bitácora diaria'!$A:$A,$A6,'Bitácora diaria'!$F:$F,"Control de calidad")</f>
        <v>0</v>
      </c>
      <c r="G6" s="11">
        <f>SUMIFS('Bitácora diaria'!$G:$G,'Bitácora diaria'!$A:$A,$A6,'Bitácora diaria'!$F:$F,"Virtualización")</f>
        <v>0</v>
      </c>
      <c r="H6" s="36"/>
      <c r="I6" s="12">
        <f t="shared" si="0"/>
        <v>6</v>
      </c>
    </row>
    <row r="7" spans="1:9" x14ac:dyDescent="0.3">
      <c r="A7" s="26">
        <v>46288</v>
      </c>
      <c r="B7" s="5" t="s">
        <v>86</v>
      </c>
      <c r="C7" s="5" t="s">
        <v>106</v>
      </c>
      <c r="D7" s="11">
        <f>SUMIFS('Bitácora diaria'!$G:$G,'Bitácora diaria'!$A:$A,$A7,'Bitácora diaria'!$F:$F,"Generación")</f>
        <v>6</v>
      </c>
      <c r="E7" s="11">
        <f>SUMIFS('Bitácora diaria'!$G:$G,'Bitácora diaria'!$A:$A,$A7,'Bitácora diaria'!$F:$F,"Revisión")</f>
        <v>0</v>
      </c>
      <c r="F7" s="11">
        <f>SUMIFS('Bitácora diaria'!$G:$G,'Bitácora diaria'!$A:$A,$A7,'Bitácora diaria'!$F:$F,"Control de calidad")</f>
        <v>0</v>
      </c>
      <c r="G7" s="11">
        <f>SUMIFS('Bitácora diaria'!$G:$G,'Bitácora diaria'!$A:$A,$A7,'Bitácora diaria'!$F:$F,"Virtualización")</f>
        <v>0</v>
      </c>
      <c r="H7" s="36"/>
      <c r="I7" s="12">
        <f t="shared" si="0"/>
        <v>6</v>
      </c>
    </row>
    <row r="8" spans="1:9" x14ac:dyDescent="0.3">
      <c r="A8" s="26">
        <v>46289</v>
      </c>
      <c r="B8" s="5" t="s">
        <v>88</v>
      </c>
      <c r="C8" s="5" t="s">
        <v>106</v>
      </c>
      <c r="D8" s="11">
        <f>SUMIFS('Bitácora diaria'!$G:$G,'Bitácora diaria'!$A:$A,$A8,'Bitácora diaria'!$F:$F,"Generación")</f>
        <v>6</v>
      </c>
      <c r="E8" s="11">
        <f>SUMIFS('Bitácora diaria'!$G:$G,'Bitácora diaria'!$A:$A,$A8,'Bitácora diaria'!$F:$F,"Revisión")</f>
        <v>10</v>
      </c>
      <c r="F8" s="11">
        <f>SUMIFS('Bitácora diaria'!$G:$G,'Bitácora diaria'!$A:$A,$A8,'Bitácora diaria'!$F:$F,"Control de calidad")</f>
        <v>0</v>
      </c>
      <c r="G8" s="11">
        <f>SUMIFS('Bitácora diaria'!$G:$G,'Bitácora diaria'!$A:$A,$A8,'Bitácora diaria'!$F:$F,"Virtualización")</f>
        <v>0</v>
      </c>
      <c r="H8" s="36"/>
      <c r="I8" s="12">
        <f t="shared" si="0"/>
        <v>16</v>
      </c>
    </row>
    <row r="9" spans="1:9" x14ac:dyDescent="0.3">
      <c r="A9" s="26">
        <v>46290</v>
      </c>
      <c r="B9" s="5" t="s">
        <v>89</v>
      </c>
      <c r="C9" s="5" t="s">
        <v>106</v>
      </c>
      <c r="D9" s="11">
        <f>SUMIFS('Bitácora diaria'!$G:$G,'Bitácora diaria'!$A:$A,$A9,'Bitácora diaria'!$F:$F,"Generación")</f>
        <v>0</v>
      </c>
      <c r="E9" s="11">
        <f>SUMIFS('Bitácora diaria'!$G:$G,'Bitácora diaria'!$A:$A,$A9,'Bitácora diaria'!$F:$F,"Revisión")</f>
        <v>8</v>
      </c>
      <c r="F9" s="11">
        <f>SUMIFS('Bitácora diaria'!$G:$G,'Bitácora diaria'!$A:$A,$A9,'Bitácora diaria'!$F:$F,"Control de calidad")</f>
        <v>0</v>
      </c>
      <c r="G9" s="11">
        <f>SUMIFS('Bitácora diaria'!$G:$G,'Bitácora diaria'!$A:$A,$A9,'Bitácora diaria'!$F:$F,"Virtualización")</f>
        <v>0</v>
      </c>
      <c r="H9" s="36"/>
      <c r="I9" s="12">
        <f t="shared" si="0"/>
        <v>8</v>
      </c>
    </row>
    <row r="10" spans="1:9" x14ac:dyDescent="0.3">
      <c r="A10" s="26">
        <v>46293</v>
      </c>
      <c r="B10" s="5" t="s">
        <v>69</v>
      </c>
      <c r="C10" s="5" t="s">
        <v>106</v>
      </c>
      <c r="D10" s="11">
        <f>SUMIFS('Bitácora diaria'!$G:$G,'Bitácora diaria'!$A:$A,$A10,'Bitácora diaria'!$F:$F,"Generación")</f>
        <v>0</v>
      </c>
      <c r="E10" s="11">
        <f>SUMIFS('Bitácora diaria'!$G:$G,'Bitácora diaria'!$A:$A,$A10,'Bitácora diaria'!$F:$F,"Revisión")</f>
        <v>8</v>
      </c>
      <c r="F10" s="11">
        <f>SUMIFS('Bitácora diaria'!$G:$G,'Bitácora diaria'!$A:$A,$A10,'Bitácora diaria'!$F:$F,"Control de calidad")</f>
        <v>0</v>
      </c>
      <c r="G10" s="11">
        <f>SUMIFS('Bitácora diaria'!$G:$G,'Bitácora diaria'!$A:$A,$A10,'Bitácora diaria'!$F:$F,"Virtualización")</f>
        <v>0</v>
      </c>
      <c r="H10" s="36"/>
      <c r="I10" s="12">
        <f t="shared" si="0"/>
        <v>8</v>
      </c>
    </row>
    <row r="11" spans="1:9" x14ac:dyDescent="0.3">
      <c r="A11" s="26">
        <v>46294</v>
      </c>
      <c r="B11" s="5" t="s">
        <v>90</v>
      </c>
      <c r="C11" s="5" t="s">
        <v>106</v>
      </c>
      <c r="D11" s="11">
        <f>SUMIFS('Bitácora diaria'!$G:$G,'Bitácora diaria'!$A:$A,$A11,'Bitácora diaria'!$F:$F,"Generación")</f>
        <v>0</v>
      </c>
      <c r="E11" s="11">
        <f>SUMIFS('Bitácora diaria'!$G:$G,'Bitácora diaria'!$A:$A,$A11,'Bitácora diaria'!$F:$F,"Revisión")</f>
        <v>8</v>
      </c>
      <c r="F11" s="11">
        <f>SUMIFS('Bitácora diaria'!$G:$G,'Bitácora diaria'!$A:$A,$A11,'Bitácora diaria'!$F:$F,"Control de calidad")</f>
        <v>0</v>
      </c>
      <c r="G11" s="11">
        <f>SUMIFS('Bitácora diaria'!$G:$G,'Bitácora diaria'!$A:$A,$A11,'Bitácora diaria'!$F:$F,"Virtualización")</f>
        <v>0</v>
      </c>
      <c r="H11" s="36"/>
      <c r="I11" s="12">
        <f t="shared" si="0"/>
        <v>8</v>
      </c>
    </row>
    <row r="12" spans="1:9" x14ac:dyDescent="0.3">
      <c r="A12" s="26">
        <v>46295</v>
      </c>
      <c r="B12" s="5" t="s">
        <v>86</v>
      </c>
      <c r="C12" s="5" t="s">
        <v>106</v>
      </c>
      <c r="D12" s="11">
        <f>SUMIFS('Bitácora diaria'!$G:$G,'Bitácora diaria'!$A:$A,$A12,'Bitácora diaria'!$F:$F,"Generación")</f>
        <v>0</v>
      </c>
      <c r="E12" s="11">
        <f>SUMIFS('Bitácora diaria'!$G:$G,'Bitácora diaria'!$A:$A,$A12,'Bitácora diaria'!$F:$F,"Revisión")</f>
        <v>8</v>
      </c>
      <c r="F12" s="11">
        <f>SUMIFS('Bitácora diaria'!$G:$G,'Bitácora diaria'!$A:$A,$A12,'Bitácora diaria'!$F:$F,"Control de calidad")</f>
        <v>0</v>
      </c>
      <c r="G12" s="11">
        <f>SUMIFS('Bitácora diaria'!$G:$G,'Bitácora diaria'!$A:$A,$A12,'Bitácora diaria'!$F:$F,"Virtualización")</f>
        <v>0</v>
      </c>
      <c r="H12" s="36"/>
      <c r="I12" s="12">
        <f t="shared" si="0"/>
        <v>8</v>
      </c>
    </row>
    <row r="13" spans="1:9" x14ac:dyDescent="0.3">
      <c r="A13" s="26">
        <v>46296</v>
      </c>
      <c r="B13" s="5" t="s">
        <v>88</v>
      </c>
      <c r="C13" s="5" t="s">
        <v>106</v>
      </c>
      <c r="D13" s="11">
        <f>SUMIFS('Bitácora diaria'!$G:$G,'Bitácora diaria'!$A:$A,$A13,'Bitácora diaria'!$F:$F,"Generación")</f>
        <v>0</v>
      </c>
      <c r="E13" s="11">
        <f>SUMIFS('Bitácora diaria'!$G:$G,'Bitácora diaria'!$A:$A,$A13,'Bitácora diaria'!$F:$F,"Revisión")</f>
        <v>8</v>
      </c>
      <c r="F13" s="11">
        <f>SUMIFS('Bitácora diaria'!$G:$G,'Bitácora diaria'!$A:$A,$A13,'Bitácora diaria'!$F:$F,"Control de calidad")</f>
        <v>10</v>
      </c>
      <c r="G13" s="11">
        <f>SUMIFS('Bitácora diaria'!$G:$G,'Bitácora diaria'!$A:$A,$A13,'Bitácora diaria'!$F:$F,"Virtualización")</f>
        <v>0</v>
      </c>
      <c r="H13" s="36"/>
      <c r="I13" s="12">
        <f t="shared" si="0"/>
        <v>18</v>
      </c>
    </row>
    <row r="14" spans="1:9" x14ac:dyDescent="0.3">
      <c r="A14" s="26">
        <v>46297</v>
      </c>
      <c r="B14" s="5" t="s">
        <v>89</v>
      </c>
      <c r="C14" s="5" t="s">
        <v>106</v>
      </c>
      <c r="D14" s="11">
        <f>SUMIFS('Bitácora diaria'!$G:$G,'Bitácora diaria'!$A:$A,$A14,'Bitácora diaria'!$F:$F,"Generación")</f>
        <v>0</v>
      </c>
      <c r="E14" s="11">
        <f>SUMIFS('Bitácora diaria'!$G:$G,'Bitácora diaria'!$A:$A,$A14,'Bitácora diaria'!$F:$F,"Revisión")</f>
        <v>0</v>
      </c>
      <c r="F14" s="11">
        <f>SUMIFS('Bitácora diaria'!$G:$G,'Bitácora diaria'!$A:$A,$A14,'Bitácora diaria'!$F:$F,"Control de calidad")</f>
        <v>8</v>
      </c>
      <c r="G14" s="11">
        <f>SUMIFS('Bitácora diaria'!$G:$G,'Bitácora diaria'!$A:$A,$A14,'Bitácora diaria'!$F:$F,"Virtualización")</f>
        <v>0</v>
      </c>
      <c r="H14" s="36"/>
      <c r="I14" s="12">
        <f t="shared" si="0"/>
        <v>8</v>
      </c>
    </row>
    <row r="15" spans="1:9" x14ac:dyDescent="0.3">
      <c r="A15" s="26">
        <v>46300</v>
      </c>
      <c r="B15" s="5" t="s">
        <v>69</v>
      </c>
      <c r="C15" s="5" t="s">
        <v>106</v>
      </c>
      <c r="D15" s="11">
        <f>SUMIFS('Bitácora diaria'!$G:$G,'Bitácora diaria'!$A:$A,$A15,'Bitácora diaria'!$F:$F,"Generación")</f>
        <v>0</v>
      </c>
      <c r="E15" s="11">
        <f>SUMIFS('Bitácora diaria'!$G:$G,'Bitácora diaria'!$A:$A,$A15,'Bitácora diaria'!$F:$F,"Revisión")</f>
        <v>0</v>
      </c>
      <c r="F15" s="11">
        <f>SUMIFS('Bitácora diaria'!$G:$G,'Bitácora diaria'!$A:$A,$A15,'Bitácora diaria'!$F:$F,"Control de calidad")</f>
        <v>8</v>
      </c>
      <c r="G15" s="11">
        <f>SUMIFS('Bitácora diaria'!$G:$G,'Bitácora diaria'!$A:$A,$A15,'Bitácora diaria'!$F:$F,"Virtualización")</f>
        <v>0</v>
      </c>
      <c r="H15" s="36"/>
      <c r="I15" s="12">
        <f t="shared" si="0"/>
        <v>8</v>
      </c>
    </row>
    <row r="16" spans="1:9" x14ac:dyDescent="0.3">
      <c r="A16" s="26">
        <v>46301</v>
      </c>
      <c r="B16" s="5" t="s">
        <v>90</v>
      </c>
      <c r="C16" s="5" t="s">
        <v>106</v>
      </c>
      <c r="D16" s="11">
        <f>SUMIFS('Bitácora diaria'!$G:$G,'Bitácora diaria'!$A:$A,$A16,'Bitácora diaria'!$F:$F,"Generación")</f>
        <v>0</v>
      </c>
      <c r="E16" s="11">
        <f>SUMIFS('Bitácora diaria'!$G:$G,'Bitácora diaria'!$A:$A,$A16,'Bitácora diaria'!$F:$F,"Revisión")</f>
        <v>0</v>
      </c>
      <c r="F16" s="11">
        <f>SUMIFS('Bitácora diaria'!$G:$G,'Bitácora diaria'!$A:$A,$A16,'Bitácora diaria'!$F:$F,"Control de calidad")</f>
        <v>8</v>
      </c>
      <c r="G16" s="11">
        <f>SUMIFS('Bitácora diaria'!$G:$G,'Bitácora diaria'!$A:$A,$A16,'Bitácora diaria'!$F:$F,"Virtualización")</f>
        <v>0</v>
      </c>
      <c r="H16" s="36"/>
      <c r="I16" s="12">
        <f t="shared" si="0"/>
        <v>8</v>
      </c>
    </row>
    <row r="17" spans="1:9" x14ac:dyDescent="0.3">
      <c r="A17" s="26">
        <v>46302</v>
      </c>
      <c r="B17" s="5" t="s">
        <v>86</v>
      </c>
      <c r="C17" s="5" t="s">
        <v>106</v>
      </c>
      <c r="D17" s="11">
        <f>SUMIFS('Bitácora diaria'!$G:$G,'Bitácora diaria'!$A:$A,$A17,'Bitácora diaria'!$F:$F,"Generación")</f>
        <v>0</v>
      </c>
      <c r="E17" s="11">
        <f>SUMIFS('Bitácora diaria'!$G:$G,'Bitácora diaria'!$A:$A,$A17,'Bitácora diaria'!$F:$F,"Revisión")</f>
        <v>0</v>
      </c>
      <c r="F17" s="11">
        <f>SUMIFS('Bitácora diaria'!$G:$G,'Bitácora diaria'!$A:$A,$A17,'Bitácora diaria'!$F:$F,"Control de calidad")</f>
        <v>8</v>
      </c>
      <c r="G17" s="11">
        <f>SUMIFS('Bitácora diaria'!$G:$G,'Bitácora diaria'!$A:$A,$A17,'Bitácora diaria'!$F:$F,"Virtualización")</f>
        <v>0</v>
      </c>
      <c r="H17" s="36"/>
      <c r="I17" s="12">
        <f t="shared" si="0"/>
        <v>8</v>
      </c>
    </row>
    <row r="18" spans="1:9" x14ac:dyDescent="0.3">
      <c r="A18" s="26">
        <v>46303</v>
      </c>
      <c r="B18" s="5" t="s">
        <v>88</v>
      </c>
      <c r="C18" s="5" t="s">
        <v>106</v>
      </c>
      <c r="D18" s="11">
        <f>SUMIFS('Bitácora diaria'!$G:$G,'Bitácora diaria'!$A:$A,$A18,'Bitácora diaria'!$F:$F,"Generación")</f>
        <v>0</v>
      </c>
      <c r="E18" s="11">
        <f>SUMIFS('Bitácora diaria'!$G:$G,'Bitácora diaria'!$A:$A,$A18,'Bitácora diaria'!$F:$F,"Revisión")</f>
        <v>0</v>
      </c>
      <c r="F18" s="11">
        <f>SUMIFS('Bitácora diaria'!$G:$G,'Bitácora diaria'!$A:$A,$A18,'Bitácora diaria'!$F:$F,"Control de calidad")</f>
        <v>8</v>
      </c>
      <c r="G18" s="11">
        <f>SUMIFS('Bitácora diaria'!$G:$G,'Bitácora diaria'!$A:$A,$A18,'Bitácora diaria'!$F:$F,"Virtualización")</f>
        <v>10</v>
      </c>
      <c r="H18" s="36"/>
      <c r="I18" s="12">
        <f t="shared" si="0"/>
        <v>18</v>
      </c>
    </row>
    <row r="19" spans="1:9" x14ac:dyDescent="0.3">
      <c r="A19" s="26">
        <v>46304</v>
      </c>
      <c r="B19" s="5" t="s">
        <v>89</v>
      </c>
      <c r="C19" s="5" t="s">
        <v>106</v>
      </c>
      <c r="D19" s="11">
        <f>SUMIFS('Bitácora diaria'!$G:$G,'Bitácora diaria'!$A:$A,$A19,'Bitácora diaria'!$F:$F,"Generación")</f>
        <v>0</v>
      </c>
      <c r="E19" s="11">
        <f>SUMIFS('Bitácora diaria'!$G:$G,'Bitácora diaria'!$A:$A,$A19,'Bitácora diaria'!$F:$F,"Revisión")</f>
        <v>0</v>
      </c>
      <c r="F19" s="11">
        <f>SUMIFS('Bitácora diaria'!$G:$G,'Bitácora diaria'!$A:$A,$A19,'Bitácora diaria'!$F:$F,"Control de calidad")</f>
        <v>0</v>
      </c>
      <c r="G19" s="11">
        <f>SUMIFS('Bitácora diaria'!$G:$G,'Bitácora diaria'!$A:$A,$A19,'Bitácora diaria'!$F:$F,"Virtualización")</f>
        <v>10</v>
      </c>
      <c r="H19" s="36"/>
      <c r="I19" s="12">
        <f t="shared" si="0"/>
        <v>10</v>
      </c>
    </row>
    <row r="20" spans="1:9" x14ac:dyDescent="0.3">
      <c r="A20" s="26">
        <v>46307</v>
      </c>
      <c r="B20" s="5" t="s">
        <v>69</v>
      </c>
      <c r="C20" s="37" t="s">
        <v>113</v>
      </c>
      <c r="D20" s="11">
        <f>SUMIFS('Bitácora diaria'!$G:$G,'Bitácora diaria'!$A:$A,$A20,'Bitácora diaria'!$F:$F,"Generación")</f>
        <v>0</v>
      </c>
      <c r="E20" s="11">
        <f>SUMIFS('Bitácora diaria'!$G:$G,'Bitácora diaria'!$A:$A,$A20,'Bitácora diaria'!$F:$F,"Revisión")</f>
        <v>0</v>
      </c>
      <c r="F20" s="11">
        <f>SUMIFS('Bitácora diaria'!$G:$G,'Bitácora diaria'!$A:$A,$A20,'Bitácora diaria'!$F:$F,"Control de calidad")</f>
        <v>0</v>
      </c>
      <c r="G20" s="11">
        <f>SUMIFS('Bitácora diaria'!$G:$G,'Bitácora diaria'!$A:$A,$A20,'Bitácora diaria'!$F:$F,"Virtualización")</f>
        <v>0</v>
      </c>
      <c r="H20" s="38" t="s">
        <v>70</v>
      </c>
      <c r="I20" s="12">
        <f t="shared" si="0"/>
        <v>0</v>
      </c>
    </row>
    <row r="21" spans="1:9" x14ac:dyDescent="0.3">
      <c r="A21" s="26">
        <v>46308</v>
      </c>
      <c r="B21" s="5" t="s">
        <v>90</v>
      </c>
      <c r="C21" s="5" t="s">
        <v>106</v>
      </c>
      <c r="D21" s="11">
        <f>SUMIFS('Bitácora diaria'!$G:$G,'Bitácora diaria'!$A:$A,$A21,'Bitácora diaria'!$F:$F,"Generación")</f>
        <v>0</v>
      </c>
      <c r="E21" s="11">
        <f>SUMIFS('Bitácora diaria'!$G:$G,'Bitácora diaria'!$A:$A,$A21,'Bitácora diaria'!$F:$F,"Revisión")</f>
        <v>0</v>
      </c>
      <c r="F21" s="11">
        <f>SUMIFS('Bitácora diaria'!$G:$G,'Bitácora diaria'!$A:$A,$A21,'Bitácora diaria'!$F:$F,"Control de calidad")</f>
        <v>0</v>
      </c>
      <c r="G21" s="11">
        <f>SUMIFS('Bitácora diaria'!$G:$G,'Bitácora diaria'!$A:$A,$A21,'Bitácora diaria'!$F:$F,"Virtualización")</f>
        <v>10</v>
      </c>
      <c r="H21" s="36"/>
      <c r="I21" s="12">
        <f t="shared" si="0"/>
        <v>10</v>
      </c>
    </row>
    <row r="22" spans="1:9" x14ac:dyDescent="0.3">
      <c r="A22" s="26">
        <v>46309</v>
      </c>
      <c r="B22" s="5" t="s">
        <v>86</v>
      </c>
      <c r="C22" s="5" t="s">
        <v>106</v>
      </c>
      <c r="D22" s="11">
        <f>SUMIFS('Bitácora diaria'!$G:$G,'Bitácora diaria'!$A:$A,$A22,'Bitácora diaria'!$F:$F,"Generación")</f>
        <v>0</v>
      </c>
      <c r="E22" s="11">
        <f>SUMIFS('Bitácora diaria'!$G:$G,'Bitácora diaria'!$A:$A,$A22,'Bitácora diaria'!$F:$F,"Revisión")</f>
        <v>0</v>
      </c>
      <c r="F22" s="11">
        <f>SUMIFS('Bitácora diaria'!$G:$G,'Bitácora diaria'!$A:$A,$A22,'Bitácora diaria'!$F:$F,"Control de calidad")</f>
        <v>0</v>
      </c>
      <c r="G22" s="11">
        <f>SUMIFS('Bitácora diaria'!$G:$G,'Bitácora diaria'!$A:$A,$A22,'Bitácora diaria'!$F:$F,"Virtualización")</f>
        <v>10</v>
      </c>
      <c r="H22" s="36"/>
      <c r="I22" s="12">
        <f t="shared" si="0"/>
        <v>10</v>
      </c>
    </row>
    <row r="23" spans="1:9" x14ac:dyDescent="0.3">
      <c r="A23" s="26">
        <v>46310</v>
      </c>
      <c r="B23" s="5" t="s">
        <v>88</v>
      </c>
      <c r="C23" s="5" t="s">
        <v>106</v>
      </c>
      <c r="D23" s="11">
        <f>SUMIFS('Bitácora diaria'!$G:$G,'Bitácora diaria'!$A:$A,$A23,'Bitácora diaria'!$F:$F,"Generación")</f>
        <v>0</v>
      </c>
      <c r="E23" s="11">
        <f>SUMIFS('Bitácora diaria'!$G:$G,'Bitácora diaria'!$A:$A,$A23,'Bitácora diaria'!$F:$F,"Revisión")</f>
        <v>0</v>
      </c>
      <c r="F23" s="11">
        <f>SUMIFS('Bitácora diaria'!$G:$G,'Bitácora diaria'!$A:$A,$A23,'Bitácora diaria'!$F:$F,"Control de calidad")</f>
        <v>0</v>
      </c>
      <c r="G23" s="11">
        <f>SUMIFS('Bitácora diaria'!$G:$G,'Bitácora diaria'!$A:$A,$A23,'Bitácora diaria'!$F:$F,"Virtualización")</f>
        <v>10</v>
      </c>
      <c r="H23" s="36"/>
      <c r="I23" s="12">
        <f t="shared" si="0"/>
        <v>10</v>
      </c>
    </row>
    <row r="24" spans="1:9" x14ac:dyDescent="0.3">
      <c r="A24" s="26">
        <v>46311</v>
      </c>
      <c r="B24" s="5" t="s">
        <v>89</v>
      </c>
      <c r="C24" s="5" t="s">
        <v>106</v>
      </c>
      <c r="D24" s="11">
        <f>SUMIFS('Bitácora diaria'!$G:$G,'Bitácora diaria'!$A:$A,$A24,'Bitácora diaria'!$F:$F,"Generación")</f>
        <v>14</v>
      </c>
      <c r="E24" s="11">
        <f>SUMIFS('Bitácora diaria'!$G:$G,'Bitácora diaria'!$A:$A,$A24,'Bitácora diaria'!$F:$F,"Revisión")</f>
        <v>0</v>
      </c>
      <c r="F24" s="11">
        <f>SUMIFS('Bitácora diaria'!$G:$G,'Bitácora diaria'!$A:$A,$A24,'Bitácora diaria'!$F:$F,"Control de calidad")</f>
        <v>0</v>
      </c>
      <c r="G24" s="11">
        <f>SUMIFS('Bitácora diaria'!$G:$G,'Bitácora diaria'!$A:$A,$A24,'Bitácora diaria'!$F:$F,"Virtualización")</f>
        <v>0</v>
      </c>
      <c r="H24" s="36"/>
      <c r="I24" s="12">
        <f t="shared" si="0"/>
        <v>14</v>
      </c>
    </row>
    <row r="25" spans="1:9" x14ac:dyDescent="0.3">
      <c r="A25" s="26">
        <v>46314</v>
      </c>
      <c r="B25" s="5" t="s">
        <v>69</v>
      </c>
      <c r="C25" s="5" t="s">
        <v>106</v>
      </c>
      <c r="D25" s="11">
        <f>SUMIFS('Bitácora diaria'!$G:$G,'Bitácora diaria'!$A:$A,$A25,'Bitácora diaria'!$F:$F,"Generación")</f>
        <v>12</v>
      </c>
      <c r="E25" s="11">
        <f>SUMIFS('Bitácora diaria'!$G:$G,'Bitácora diaria'!$A:$A,$A25,'Bitácora diaria'!$F:$F,"Revisión")</f>
        <v>0</v>
      </c>
      <c r="F25" s="11">
        <f>SUMIFS('Bitácora diaria'!$G:$G,'Bitácora diaria'!$A:$A,$A25,'Bitácora diaria'!$F:$F,"Control de calidad")</f>
        <v>0</v>
      </c>
      <c r="G25" s="11">
        <f>SUMIFS('Bitácora diaria'!$G:$G,'Bitácora diaria'!$A:$A,$A25,'Bitácora diaria'!$F:$F,"Virtualización")</f>
        <v>0</v>
      </c>
      <c r="H25" s="36"/>
      <c r="I25" s="12">
        <f t="shared" si="0"/>
        <v>12</v>
      </c>
    </row>
    <row r="26" spans="1:9" x14ac:dyDescent="0.3">
      <c r="A26" s="26">
        <v>46315</v>
      </c>
      <c r="B26" s="5" t="s">
        <v>90</v>
      </c>
      <c r="C26" s="5" t="s">
        <v>106</v>
      </c>
      <c r="D26" s="11">
        <f>SUMIFS('Bitácora diaria'!$G:$G,'Bitácora diaria'!$A:$A,$A26,'Bitácora diaria'!$F:$F,"Generación")</f>
        <v>12</v>
      </c>
      <c r="E26" s="11">
        <f>SUMIFS('Bitácora diaria'!$G:$G,'Bitácora diaria'!$A:$A,$A26,'Bitácora diaria'!$F:$F,"Revisión")</f>
        <v>0</v>
      </c>
      <c r="F26" s="11">
        <f>SUMIFS('Bitácora diaria'!$G:$G,'Bitácora diaria'!$A:$A,$A26,'Bitácora diaria'!$F:$F,"Control de calidad")</f>
        <v>0</v>
      </c>
      <c r="G26" s="11">
        <f>SUMIFS('Bitácora diaria'!$G:$G,'Bitácora diaria'!$A:$A,$A26,'Bitácora diaria'!$F:$F,"Virtualización")</f>
        <v>0</v>
      </c>
      <c r="H26" s="36"/>
      <c r="I26" s="12">
        <f t="shared" si="0"/>
        <v>12</v>
      </c>
    </row>
    <row r="27" spans="1:9" x14ac:dyDescent="0.3">
      <c r="A27" s="26">
        <v>46316</v>
      </c>
      <c r="B27" s="5" t="s">
        <v>86</v>
      </c>
      <c r="C27" s="5" t="s">
        <v>106</v>
      </c>
      <c r="D27" s="11">
        <f>SUMIFS('Bitácora diaria'!$G:$G,'Bitácora diaria'!$A:$A,$A27,'Bitácora diaria'!$F:$F,"Generación")</f>
        <v>12</v>
      </c>
      <c r="E27" s="11">
        <f>SUMIFS('Bitácora diaria'!$G:$G,'Bitácora diaria'!$A:$A,$A27,'Bitácora diaria'!$F:$F,"Revisión")</f>
        <v>14</v>
      </c>
      <c r="F27" s="11">
        <f>SUMIFS('Bitácora diaria'!$G:$G,'Bitácora diaria'!$A:$A,$A27,'Bitácora diaria'!$F:$F,"Control de calidad")</f>
        <v>0</v>
      </c>
      <c r="G27" s="11">
        <f>SUMIFS('Bitácora diaria'!$G:$G,'Bitácora diaria'!$A:$A,$A27,'Bitácora diaria'!$F:$F,"Virtualización")</f>
        <v>0</v>
      </c>
      <c r="H27" s="36"/>
      <c r="I27" s="12">
        <f t="shared" si="0"/>
        <v>26</v>
      </c>
    </row>
    <row r="28" spans="1:9" x14ac:dyDescent="0.3">
      <c r="A28" s="26">
        <v>46317</v>
      </c>
      <c r="B28" s="5" t="s">
        <v>88</v>
      </c>
      <c r="C28" s="5" t="s">
        <v>106</v>
      </c>
      <c r="D28" s="11">
        <f>SUMIFS('Bitácora diaria'!$G:$G,'Bitácora diaria'!$A:$A,$A28,'Bitácora diaria'!$F:$F,"Generación")</f>
        <v>0</v>
      </c>
      <c r="E28" s="11">
        <f>SUMIFS('Bitácora diaria'!$G:$G,'Bitácora diaria'!$A:$A,$A28,'Bitácora diaria'!$F:$F,"Revisión")</f>
        <v>12</v>
      </c>
      <c r="F28" s="11">
        <f>SUMIFS('Bitácora diaria'!$G:$G,'Bitácora diaria'!$A:$A,$A28,'Bitácora diaria'!$F:$F,"Control de calidad")</f>
        <v>0</v>
      </c>
      <c r="G28" s="11">
        <f>SUMIFS('Bitácora diaria'!$G:$G,'Bitácora diaria'!$A:$A,$A28,'Bitácora diaria'!$F:$F,"Virtualización")</f>
        <v>0</v>
      </c>
      <c r="H28" s="36"/>
      <c r="I28" s="12">
        <f t="shared" si="0"/>
        <v>12</v>
      </c>
    </row>
    <row r="29" spans="1:9" x14ac:dyDescent="0.3">
      <c r="A29" s="26">
        <v>46318</v>
      </c>
      <c r="B29" s="5" t="s">
        <v>89</v>
      </c>
      <c r="C29" s="5" t="s">
        <v>106</v>
      </c>
      <c r="D29" s="11">
        <f>SUMIFS('Bitácora diaria'!$G:$G,'Bitácora diaria'!$A:$A,$A29,'Bitácora diaria'!$F:$F,"Generación")</f>
        <v>0</v>
      </c>
      <c r="E29" s="11">
        <f>SUMIFS('Bitácora diaria'!$G:$G,'Bitácora diaria'!$A:$A,$A29,'Bitácora diaria'!$F:$F,"Revisión")</f>
        <v>12</v>
      </c>
      <c r="F29" s="11">
        <f>SUMIFS('Bitácora diaria'!$G:$G,'Bitácora diaria'!$A:$A,$A29,'Bitácora diaria'!$F:$F,"Control de calidad")</f>
        <v>0</v>
      </c>
      <c r="G29" s="11">
        <f>SUMIFS('Bitácora diaria'!$G:$G,'Bitácora diaria'!$A:$A,$A29,'Bitácora diaria'!$F:$F,"Virtualización")</f>
        <v>0</v>
      </c>
      <c r="H29" s="36"/>
      <c r="I29" s="12">
        <f t="shared" si="0"/>
        <v>12</v>
      </c>
    </row>
    <row r="30" spans="1:9" x14ac:dyDescent="0.3">
      <c r="A30" s="26">
        <v>46321</v>
      </c>
      <c r="B30" s="5" t="s">
        <v>69</v>
      </c>
      <c r="C30" s="5" t="s">
        <v>106</v>
      </c>
      <c r="D30" s="11">
        <f>SUMIFS('Bitácora diaria'!$G:$G,'Bitácora diaria'!$A:$A,$A30,'Bitácora diaria'!$F:$F,"Generación")</f>
        <v>0</v>
      </c>
      <c r="E30" s="11">
        <f>SUMIFS('Bitácora diaria'!$G:$G,'Bitácora diaria'!$A:$A,$A30,'Bitácora diaria'!$F:$F,"Revisión")</f>
        <v>12</v>
      </c>
      <c r="F30" s="11">
        <f>SUMIFS('Bitácora diaria'!$G:$G,'Bitácora diaria'!$A:$A,$A30,'Bitácora diaria'!$F:$F,"Control de calidad")</f>
        <v>18</v>
      </c>
      <c r="G30" s="11">
        <f>SUMIFS('Bitácora diaria'!$G:$G,'Bitácora diaria'!$A:$A,$A30,'Bitácora diaria'!$F:$F,"Virtualización")</f>
        <v>0</v>
      </c>
      <c r="H30" s="36"/>
      <c r="I30" s="12">
        <f t="shared" si="0"/>
        <v>30</v>
      </c>
    </row>
    <row r="31" spans="1:9" x14ac:dyDescent="0.3">
      <c r="A31" s="26">
        <v>46322</v>
      </c>
      <c r="B31" s="5" t="s">
        <v>90</v>
      </c>
      <c r="C31" s="5" t="s">
        <v>106</v>
      </c>
      <c r="D31" s="11">
        <f>SUMIFS('Bitácora diaria'!$G:$G,'Bitácora diaria'!$A:$A,$A31,'Bitácora diaria'!$F:$F,"Generación")</f>
        <v>0</v>
      </c>
      <c r="E31" s="11">
        <f>SUMIFS('Bitácora diaria'!$G:$G,'Bitácora diaria'!$A:$A,$A31,'Bitácora diaria'!$F:$F,"Revisión")</f>
        <v>0</v>
      </c>
      <c r="F31" s="11">
        <f>SUMIFS('Bitácora diaria'!$G:$G,'Bitácora diaria'!$A:$A,$A31,'Bitácora diaria'!$F:$F,"Control de calidad")</f>
        <v>16</v>
      </c>
      <c r="G31" s="11">
        <f>SUMIFS('Bitácora diaria'!$G:$G,'Bitácora diaria'!$A:$A,$A31,'Bitácora diaria'!$F:$F,"Virtualización")</f>
        <v>0</v>
      </c>
      <c r="H31" s="36"/>
      <c r="I31" s="12">
        <f t="shared" si="0"/>
        <v>16</v>
      </c>
    </row>
    <row r="32" spans="1:9" x14ac:dyDescent="0.3">
      <c r="A32" s="26">
        <v>46323</v>
      </c>
      <c r="B32" s="5" t="s">
        <v>86</v>
      </c>
      <c r="C32" s="5" t="s">
        <v>106</v>
      </c>
      <c r="D32" s="11">
        <f>SUMIFS('Bitácora diaria'!$G:$G,'Bitácora diaria'!$A:$A,$A32,'Bitácora diaria'!$F:$F,"Generación")</f>
        <v>0</v>
      </c>
      <c r="E32" s="11">
        <f>SUMIFS('Bitácora diaria'!$G:$G,'Bitácora diaria'!$A:$A,$A32,'Bitácora diaria'!$F:$F,"Revisión")</f>
        <v>0</v>
      </c>
      <c r="F32" s="11">
        <f>SUMIFS('Bitácora diaria'!$G:$G,'Bitácora diaria'!$A:$A,$A32,'Bitácora diaria'!$F:$F,"Control de calidad")</f>
        <v>16</v>
      </c>
      <c r="G32" s="11">
        <f>SUMIFS('Bitácora diaria'!$G:$G,'Bitácora diaria'!$A:$A,$A32,'Bitácora diaria'!$F:$F,"Virtualización")</f>
        <v>18</v>
      </c>
      <c r="H32" s="36"/>
      <c r="I32" s="12">
        <f t="shared" si="0"/>
        <v>34</v>
      </c>
    </row>
    <row r="33" spans="1:9" x14ac:dyDescent="0.3">
      <c r="A33" s="26">
        <v>46324</v>
      </c>
      <c r="B33" s="5" t="s">
        <v>88</v>
      </c>
      <c r="C33" s="5" t="s">
        <v>106</v>
      </c>
      <c r="D33" s="11">
        <f>SUMIFS('Bitácora diaria'!$G:$G,'Bitácora diaria'!$A:$A,$A33,'Bitácora diaria'!$F:$F,"Generación")</f>
        <v>0</v>
      </c>
      <c r="E33" s="11">
        <f>SUMIFS('Bitácora diaria'!$G:$G,'Bitácora diaria'!$A:$A,$A33,'Bitácora diaria'!$F:$F,"Revisión")</f>
        <v>0</v>
      </c>
      <c r="F33" s="11">
        <f>SUMIFS('Bitácora diaria'!$G:$G,'Bitácora diaria'!$A:$A,$A33,'Bitácora diaria'!$F:$F,"Control de calidad")</f>
        <v>0</v>
      </c>
      <c r="G33" s="11">
        <f>SUMIFS('Bitácora diaria'!$G:$G,'Bitácora diaria'!$A:$A,$A33,'Bitácora diaria'!$F:$F,"Virtualización")</f>
        <v>16</v>
      </c>
      <c r="H33" s="36"/>
      <c r="I33" s="12">
        <f t="shared" si="0"/>
        <v>16</v>
      </c>
    </row>
    <row r="34" spans="1:9" x14ac:dyDescent="0.3">
      <c r="A34" s="26">
        <v>46325</v>
      </c>
      <c r="B34" s="5" t="s">
        <v>89</v>
      </c>
      <c r="C34" s="5" t="s">
        <v>106</v>
      </c>
      <c r="D34" s="11">
        <f>SUMIFS('Bitácora diaria'!$G:$G,'Bitácora diaria'!$A:$A,$A34,'Bitácora diaria'!$F:$F,"Generación")</f>
        <v>0</v>
      </c>
      <c r="E34" s="11">
        <f>SUMIFS('Bitácora diaria'!$G:$G,'Bitácora diaria'!$A:$A,$A34,'Bitácora diaria'!$F:$F,"Revisión")</f>
        <v>0</v>
      </c>
      <c r="F34" s="11">
        <f>SUMIFS('Bitácora diaria'!$G:$G,'Bitácora diaria'!$A:$A,$A34,'Bitácora diaria'!$F:$F,"Control de calidad")</f>
        <v>0</v>
      </c>
      <c r="G34" s="11">
        <f>SUMIFS('Bitácora diaria'!$G:$G,'Bitácora diaria'!$A:$A,$A34,'Bitácora diaria'!$F:$F,"Virtualización")</f>
        <v>16</v>
      </c>
      <c r="H34" s="36"/>
      <c r="I34" s="12">
        <f t="shared" ref="I34:I55" si="1">SUM(D34:G34)</f>
        <v>16</v>
      </c>
    </row>
    <row r="35" spans="1:9" x14ac:dyDescent="0.3">
      <c r="A35" s="26">
        <v>46328</v>
      </c>
      <c r="B35" s="5" t="s">
        <v>69</v>
      </c>
      <c r="C35" s="37" t="s">
        <v>113</v>
      </c>
      <c r="D35" s="11">
        <f>SUMIFS('Bitácora diaria'!$G:$G,'Bitácora diaria'!$A:$A,$A35,'Bitácora diaria'!$F:$F,"Generación")</f>
        <v>0</v>
      </c>
      <c r="E35" s="11">
        <f>SUMIFS('Bitácora diaria'!$G:$G,'Bitácora diaria'!$A:$A,$A35,'Bitácora diaria'!$F:$F,"Revisión")</f>
        <v>0</v>
      </c>
      <c r="F35" s="11">
        <f>SUMIFS('Bitácora diaria'!$G:$G,'Bitácora diaria'!$A:$A,$A35,'Bitácora diaria'!$F:$F,"Control de calidad")</f>
        <v>0</v>
      </c>
      <c r="G35" s="11">
        <f>SUMIFS('Bitácora diaria'!$G:$G,'Bitácora diaria'!$A:$A,$A35,'Bitácora diaria'!$F:$F,"Virtualización")</f>
        <v>0</v>
      </c>
      <c r="H35" s="38" t="s">
        <v>71</v>
      </c>
      <c r="I35" s="12">
        <f t="shared" si="1"/>
        <v>0</v>
      </c>
    </row>
    <row r="36" spans="1:9" x14ac:dyDescent="0.3">
      <c r="A36" s="26">
        <v>46329</v>
      </c>
      <c r="B36" s="5" t="s">
        <v>90</v>
      </c>
      <c r="C36" s="5" t="s">
        <v>106</v>
      </c>
      <c r="D36" s="11">
        <f>SUMIFS('Bitácora diaria'!$G:$G,'Bitácora diaria'!$A:$A,$A36,'Bitácora diaria'!$F:$F,"Generación")</f>
        <v>18</v>
      </c>
      <c r="E36" s="11">
        <f>SUMIFS('Bitácora diaria'!$G:$G,'Bitácora diaria'!$A:$A,$A36,'Bitácora diaria'!$F:$F,"Revisión")</f>
        <v>0</v>
      </c>
      <c r="F36" s="11">
        <f>SUMIFS('Bitácora diaria'!$G:$G,'Bitácora diaria'!$A:$A,$A36,'Bitácora diaria'!$F:$F,"Control de calidad")</f>
        <v>0</v>
      </c>
      <c r="G36" s="11">
        <f>SUMIFS('Bitácora diaria'!$G:$G,'Bitácora diaria'!$A:$A,$A36,'Bitácora diaria'!$F:$F,"Virtualización")</f>
        <v>0</v>
      </c>
      <c r="H36" s="36"/>
      <c r="I36" s="12">
        <f t="shared" si="1"/>
        <v>18</v>
      </c>
    </row>
    <row r="37" spans="1:9" x14ac:dyDescent="0.3">
      <c r="A37" s="26">
        <v>46330</v>
      </c>
      <c r="B37" s="5" t="s">
        <v>86</v>
      </c>
      <c r="C37" s="5" t="s">
        <v>106</v>
      </c>
      <c r="D37" s="11">
        <f>SUMIFS('Bitácora diaria'!$G:$G,'Bitácora diaria'!$A:$A,$A37,'Bitácora diaria'!$F:$F,"Generación")</f>
        <v>16</v>
      </c>
      <c r="E37" s="11">
        <f>SUMIFS('Bitácora diaria'!$G:$G,'Bitácora diaria'!$A:$A,$A37,'Bitácora diaria'!$F:$F,"Revisión")</f>
        <v>0</v>
      </c>
      <c r="F37" s="11">
        <f>SUMIFS('Bitácora diaria'!$G:$G,'Bitácora diaria'!$A:$A,$A37,'Bitácora diaria'!$F:$F,"Control de calidad")</f>
        <v>0</v>
      </c>
      <c r="G37" s="11">
        <f>SUMIFS('Bitácora diaria'!$G:$G,'Bitácora diaria'!$A:$A,$A37,'Bitácora diaria'!$F:$F,"Virtualización")</f>
        <v>0</v>
      </c>
      <c r="H37" s="36"/>
      <c r="I37" s="12">
        <f t="shared" si="1"/>
        <v>16</v>
      </c>
    </row>
    <row r="38" spans="1:9" x14ac:dyDescent="0.3">
      <c r="A38" s="26">
        <v>46331</v>
      </c>
      <c r="B38" s="5" t="s">
        <v>88</v>
      </c>
      <c r="C38" s="5" t="s">
        <v>106</v>
      </c>
      <c r="D38" s="11">
        <f>SUMIFS('Bitácora diaria'!$G:$G,'Bitácora diaria'!$A:$A,$A38,'Bitácora diaria'!$F:$F,"Generación")</f>
        <v>16</v>
      </c>
      <c r="E38" s="11">
        <f>SUMIFS('Bitácora diaria'!$G:$G,'Bitácora diaria'!$A:$A,$A38,'Bitácora diaria'!$F:$F,"Revisión")</f>
        <v>18</v>
      </c>
      <c r="F38" s="11">
        <f>SUMIFS('Bitácora diaria'!$G:$G,'Bitácora diaria'!$A:$A,$A38,'Bitácora diaria'!$F:$F,"Control de calidad")</f>
        <v>0</v>
      </c>
      <c r="G38" s="11">
        <f>SUMIFS('Bitácora diaria'!$G:$G,'Bitácora diaria'!$A:$A,$A38,'Bitácora diaria'!$F:$F,"Virtualización")</f>
        <v>0</v>
      </c>
      <c r="H38" s="36"/>
      <c r="I38" s="12">
        <f t="shared" si="1"/>
        <v>34</v>
      </c>
    </row>
    <row r="39" spans="1:9" x14ac:dyDescent="0.3">
      <c r="A39" s="26">
        <v>46332</v>
      </c>
      <c r="B39" s="5" t="s">
        <v>89</v>
      </c>
      <c r="C39" s="5" t="s">
        <v>106</v>
      </c>
      <c r="D39" s="11">
        <f>SUMIFS('Bitácora diaria'!$G:$G,'Bitácora diaria'!$A:$A,$A39,'Bitácora diaria'!$F:$F,"Generación")</f>
        <v>0</v>
      </c>
      <c r="E39" s="11">
        <f>SUMIFS('Bitácora diaria'!$G:$G,'Bitácora diaria'!$A:$A,$A39,'Bitácora diaria'!$F:$F,"Revisión")</f>
        <v>16</v>
      </c>
      <c r="F39" s="11">
        <f>SUMIFS('Bitácora diaria'!$G:$G,'Bitácora diaria'!$A:$A,$A39,'Bitácora diaria'!$F:$F,"Control de calidad")</f>
        <v>0</v>
      </c>
      <c r="G39" s="11">
        <f>SUMIFS('Bitácora diaria'!$G:$G,'Bitácora diaria'!$A:$A,$A39,'Bitácora diaria'!$F:$F,"Virtualización")</f>
        <v>0</v>
      </c>
      <c r="H39" s="36"/>
      <c r="I39" s="12">
        <f t="shared" si="1"/>
        <v>16</v>
      </c>
    </row>
    <row r="40" spans="1:9" x14ac:dyDescent="0.3">
      <c r="A40" s="26">
        <v>46335</v>
      </c>
      <c r="B40" s="5" t="s">
        <v>69</v>
      </c>
      <c r="C40" s="5" t="s">
        <v>106</v>
      </c>
      <c r="D40" s="11">
        <f>SUMIFS('Bitácora diaria'!$G:$G,'Bitácora diaria'!$A:$A,$A40,'Bitácora diaria'!$F:$F,"Generación")</f>
        <v>0</v>
      </c>
      <c r="E40" s="11">
        <f>SUMIFS('Bitácora diaria'!$G:$G,'Bitácora diaria'!$A:$A,$A40,'Bitácora diaria'!$F:$F,"Revisión")</f>
        <v>16</v>
      </c>
      <c r="F40" s="11">
        <f>SUMIFS('Bitácora diaria'!$G:$G,'Bitácora diaria'!$A:$A,$A40,'Bitácora diaria'!$F:$F,"Control de calidad")</f>
        <v>18</v>
      </c>
      <c r="G40" s="11">
        <f>SUMIFS('Bitácora diaria'!$G:$G,'Bitácora diaria'!$A:$A,$A40,'Bitácora diaria'!$F:$F,"Virtualización")</f>
        <v>0</v>
      </c>
      <c r="H40" s="36"/>
      <c r="I40" s="12">
        <f t="shared" si="1"/>
        <v>34</v>
      </c>
    </row>
    <row r="41" spans="1:9" x14ac:dyDescent="0.3">
      <c r="A41" s="26">
        <v>46336</v>
      </c>
      <c r="B41" s="5" t="s">
        <v>90</v>
      </c>
      <c r="C41" s="5" t="s">
        <v>106</v>
      </c>
      <c r="D41" s="11">
        <f>SUMIFS('Bitácora diaria'!$G:$G,'Bitácora diaria'!$A:$A,$A41,'Bitácora diaria'!$F:$F,"Generación")</f>
        <v>0</v>
      </c>
      <c r="E41" s="11">
        <f>SUMIFS('Bitácora diaria'!$G:$G,'Bitácora diaria'!$A:$A,$A41,'Bitácora diaria'!$F:$F,"Revisión")</f>
        <v>0</v>
      </c>
      <c r="F41" s="11">
        <f>SUMIFS('Bitácora diaria'!$G:$G,'Bitácora diaria'!$A:$A,$A41,'Bitácora diaria'!$F:$F,"Control de calidad")</f>
        <v>16</v>
      </c>
      <c r="G41" s="11">
        <f>SUMIFS('Bitácora diaria'!$G:$G,'Bitácora diaria'!$A:$A,$A41,'Bitácora diaria'!$F:$F,"Virtualización")</f>
        <v>0</v>
      </c>
      <c r="H41" s="36"/>
      <c r="I41" s="12">
        <f t="shared" si="1"/>
        <v>16</v>
      </c>
    </row>
    <row r="42" spans="1:9" x14ac:dyDescent="0.3">
      <c r="A42" s="26">
        <v>46337</v>
      </c>
      <c r="B42" s="5" t="s">
        <v>86</v>
      </c>
      <c r="C42" s="5" t="s">
        <v>106</v>
      </c>
      <c r="D42" s="11">
        <f>SUMIFS('Bitácora diaria'!$G:$G,'Bitácora diaria'!$A:$A,$A42,'Bitácora diaria'!$F:$F,"Generación")</f>
        <v>0</v>
      </c>
      <c r="E42" s="11">
        <f>SUMIFS('Bitácora diaria'!$G:$G,'Bitácora diaria'!$A:$A,$A42,'Bitácora diaria'!$F:$F,"Revisión")</f>
        <v>0</v>
      </c>
      <c r="F42" s="11">
        <f>SUMIFS('Bitácora diaria'!$G:$G,'Bitácora diaria'!$A:$A,$A42,'Bitácora diaria'!$F:$F,"Control de calidad")</f>
        <v>16</v>
      </c>
      <c r="G42" s="11">
        <f>SUMIFS('Bitácora diaria'!$G:$G,'Bitácora diaria'!$A:$A,$A42,'Bitácora diaria'!$F:$F,"Virtualización")</f>
        <v>18</v>
      </c>
      <c r="H42" s="36"/>
      <c r="I42" s="12">
        <f t="shared" si="1"/>
        <v>34</v>
      </c>
    </row>
    <row r="43" spans="1:9" x14ac:dyDescent="0.3">
      <c r="A43" s="26">
        <v>46338</v>
      </c>
      <c r="B43" s="5" t="s">
        <v>88</v>
      </c>
      <c r="C43" s="5" t="s">
        <v>106</v>
      </c>
      <c r="D43" s="11">
        <f>SUMIFS('Bitácora diaria'!$G:$G,'Bitácora diaria'!$A:$A,$A43,'Bitácora diaria'!$F:$F,"Generación")</f>
        <v>0</v>
      </c>
      <c r="E43" s="11">
        <f>SUMIFS('Bitácora diaria'!$G:$G,'Bitácora diaria'!$A:$A,$A43,'Bitácora diaria'!$F:$F,"Revisión")</f>
        <v>0</v>
      </c>
      <c r="F43" s="11">
        <f>SUMIFS('Bitácora diaria'!$G:$G,'Bitácora diaria'!$A:$A,$A43,'Bitácora diaria'!$F:$F,"Control de calidad")</f>
        <v>0</v>
      </c>
      <c r="G43" s="11">
        <f>SUMIFS('Bitácora diaria'!$G:$G,'Bitácora diaria'!$A:$A,$A43,'Bitácora diaria'!$F:$F,"Virtualización")</f>
        <v>16</v>
      </c>
      <c r="H43" s="36"/>
      <c r="I43" s="12">
        <f t="shared" si="1"/>
        <v>16</v>
      </c>
    </row>
    <row r="44" spans="1:9" x14ac:dyDescent="0.3">
      <c r="A44" s="26">
        <v>46339</v>
      </c>
      <c r="B44" s="5" t="s">
        <v>89</v>
      </c>
      <c r="C44" s="5" t="s">
        <v>106</v>
      </c>
      <c r="D44" s="11">
        <f>SUMIFS('Bitácora diaria'!$G:$G,'Bitácora diaria'!$A:$A,$A44,'Bitácora diaria'!$F:$F,"Generación")</f>
        <v>0</v>
      </c>
      <c r="E44" s="11">
        <f>SUMIFS('Bitácora diaria'!$G:$G,'Bitácora diaria'!$A:$A,$A44,'Bitácora diaria'!$F:$F,"Revisión")</f>
        <v>0</v>
      </c>
      <c r="F44" s="11">
        <f>SUMIFS('Bitácora diaria'!$G:$G,'Bitácora diaria'!$A:$A,$A44,'Bitácora diaria'!$F:$F,"Control de calidad")</f>
        <v>0</v>
      </c>
      <c r="G44" s="11">
        <f>SUMIFS('Bitácora diaria'!$G:$G,'Bitácora diaria'!$A:$A,$A44,'Bitácora diaria'!$F:$F,"Virtualización")</f>
        <v>16</v>
      </c>
      <c r="H44" s="36"/>
      <c r="I44" s="12">
        <f t="shared" si="1"/>
        <v>16</v>
      </c>
    </row>
    <row r="45" spans="1:9" x14ac:dyDescent="0.3">
      <c r="A45" s="26">
        <v>46342</v>
      </c>
      <c r="B45" s="5" t="s">
        <v>69</v>
      </c>
      <c r="C45" s="37" t="s">
        <v>113</v>
      </c>
      <c r="D45" s="11">
        <f>SUMIFS('Bitácora diaria'!$G:$G,'Bitácora diaria'!$A:$A,$A45,'Bitácora diaria'!$F:$F,"Generación")</f>
        <v>0</v>
      </c>
      <c r="E45" s="11">
        <f>SUMIFS('Bitácora diaria'!$G:$G,'Bitácora diaria'!$A:$A,$A45,'Bitácora diaria'!$F:$F,"Revisión")</f>
        <v>0</v>
      </c>
      <c r="F45" s="11">
        <f>SUMIFS('Bitácora diaria'!$G:$G,'Bitácora diaria'!$A:$A,$A45,'Bitácora diaria'!$F:$F,"Control de calidad")</f>
        <v>0</v>
      </c>
      <c r="G45" s="11">
        <f>SUMIFS('Bitácora diaria'!$G:$G,'Bitácora diaria'!$A:$A,$A45,'Bitácora diaria'!$F:$F,"Virtualización")</f>
        <v>0</v>
      </c>
      <c r="H45" s="38" t="s">
        <v>72</v>
      </c>
      <c r="I45" s="12">
        <f t="shared" si="1"/>
        <v>0</v>
      </c>
    </row>
    <row r="46" spans="1:9" x14ac:dyDescent="0.3">
      <c r="A46" s="26">
        <v>46343</v>
      </c>
      <c r="B46" s="5" t="s">
        <v>90</v>
      </c>
      <c r="C46" s="5" t="s">
        <v>106</v>
      </c>
      <c r="D46" s="11">
        <f>SUMIFS('Bitácora diaria'!$G:$G,'Bitácora diaria'!$A:$A,$A46,'Bitácora diaria'!$F:$F,"Generación")</f>
        <v>14</v>
      </c>
      <c r="E46" s="11">
        <f>SUMIFS('Bitácora diaria'!$G:$G,'Bitácora diaria'!$A:$A,$A46,'Bitácora diaria'!$F:$F,"Revisión")</f>
        <v>0</v>
      </c>
      <c r="F46" s="11">
        <f>SUMIFS('Bitácora diaria'!$G:$G,'Bitácora diaria'!$A:$A,$A46,'Bitácora diaria'!$F:$F,"Control de calidad")</f>
        <v>0</v>
      </c>
      <c r="G46" s="11">
        <f>SUMIFS('Bitácora diaria'!$G:$G,'Bitácora diaria'!$A:$A,$A46,'Bitácora diaria'!$F:$F,"Virtualización")</f>
        <v>0</v>
      </c>
      <c r="H46" s="36"/>
      <c r="I46" s="12">
        <f t="shared" si="1"/>
        <v>14</v>
      </c>
    </row>
    <row r="47" spans="1:9" x14ac:dyDescent="0.3">
      <c r="A47" s="26">
        <v>46344</v>
      </c>
      <c r="B47" s="5" t="s">
        <v>86</v>
      </c>
      <c r="C47" s="5" t="s">
        <v>106</v>
      </c>
      <c r="D47" s="11">
        <f>SUMIFS('Bitácora diaria'!$G:$G,'Bitácora diaria'!$A:$A,$A47,'Bitácora diaria'!$F:$F,"Generación")</f>
        <v>12</v>
      </c>
      <c r="E47" s="11">
        <f>SUMIFS('Bitácora diaria'!$G:$G,'Bitácora diaria'!$A:$A,$A47,'Bitácora diaria'!$F:$F,"Revisión")</f>
        <v>0</v>
      </c>
      <c r="F47" s="11">
        <f>SUMIFS('Bitácora diaria'!$G:$G,'Bitácora diaria'!$A:$A,$A47,'Bitácora diaria'!$F:$F,"Control de calidad")</f>
        <v>0</v>
      </c>
      <c r="G47" s="11">
        <f>SUMIFS('Bitácora diaria'!$G:$G,'Bitácora diaria'!$A:$A,$A47,'Bitácora diaria'!$F:$F,"Virtualización")</f>
        <v>0</v>
      </c>
      <c r="H47" s="36"/>
      <c r="I47" s="12">
        <f t="shared" si="1"/>
        <v>12</v>
      </c>
    </row>
    <row r="48" spans="1:9" x14ac:dyDescent="0.3">
      <c r="A48" s="26">
        <v>46345</v>
      </c>
      <c r="B48" s="5" t="s">
        <v>88</v>
      </c>
      <c r="C48" s="5" t="s">
        <v>106</v>
      </c>
      <c r="D48" s="11">
        <f>SUMIFS('Bitácora diaria'!$G:$G,'Bitácora diaria'!$A:$A,$A48,'Bitácora diaria'!$F:$F,"Generación")</f>
        <v>12</v>
      </c>
      <c r="E48" s="11">
        <f>SUMIFS('Bitácora diaria'!$G:$G,'Bitácora diaria'!$A:$A,$A48,'Bitácora diaria'!$F:$F,"Revisión")</f>
        <v>0</v>
      </c>
      <c r="F48" s="11">
        <f>SUMIFS('Bitácora diaria'!$G:$G,'Bitácora diaria'!$A:$A,$A48,'Bitácora diaria'!$F:$F,"Control de calidad")</f>
        <v>0</v>
      </c>
      <c r="G48" s="11">
        <f>SUMIFS('Bitácora diaria'!$G:$G,'Bitácora diaria'!$A:$A,$A48,'Bitácora diaria'!$F:$F,"Virtualización")</f>
        <v>0</v>
      </c>
      <c r="H48" s="36"/>
      <c r="I48" s="12">
        <f t="shared" si="1"/>
        <v>12</v>
      </c>
    </row>
    <row r="49" spans="1:9" x14ac:dyDescent="0.3">
      <c r="A49" s="26">
        <v>46346</v>
      </c>
      <c r="B49" s="5" t="s">
        <v>89</v>
      </c>
      <c r="C49" s="5" t="s">
        <v>106</v>
      </c>
      <c r="D49" s="11">
        <f>SUMIFS('Bitácora diaria'!$G:$G,'Bitácora diaria'!$A:$A,$A49,'Bitácora diaria'!$F:$F,"Generación")</f>
        <v>12</v>
      </c>
      <c r="E49" s="11">
        <f>SUMIFS('Bitácora diaria'!$G:$G,'Bitácora diaria'!$A:$A,$A49,'Bitácora diaria'!$F:$F,"Revisión")</f>
        <v>18</v>
      </c>
      <c r="F49" s="11">
        <f>SUMIFS('Bitácora diaria'!$G:$G,'Bitácora diaria'!$A:$A,$A49,'Bitácora diaria'!$F:$F,"Control de calidad")</f>
        <v>0</v>
      </c>
      <c r="G49" s="11">
        <f>SUMIFS('Bitácora diaria'!$G:$G,'Bitácora diaria'!$A:$A,$A49,'Bitácora diaria'!$F:$F,"Virtualización")</f>
        <v>0</v>
      </c>
      <c r="H49" s="36"/>
      <c r="I49" s="12">
        <f t="shared" si="1"/>
        <v>30</v>
      </c>
    </row>
    <row r="50" spans="1:9" x14ac:dyDescent="0.3">
      <c r="A50" s="26">
        <v>46349</v>
      </c>
      <c r="B50" s="5" t="s">
        <v>69</v>
      </c>
      <c r="C50" s="5" t="s">
        <v>106</v>
      </c>
      <c r="D50" s="11">
        <f>SUMIFS('Bitácora diaria'!$G:$G,'Bitácora diaria'!$A:$A,$A50,'Bitácora diaria'!$F:$F,"Generación")</f>
        <v>0</v>
      </c>
      <c r="E50" s="11">
        <f>SUMIFS('Bitácora diaria'!$G:$G,'Bitácora diaria'!$A:$A,$A50,'Bitácora diaria'!$F:$F,"Revisión")</f>
        <v>16</v>
      </c>
      <c r="F50" s="11">
        <f>SUMIFS('Bitácora diaria'!$G:$G,'Bitácora diaria'!$A:$A,$A50,'Bitácora diaria'!$F:$F,"Control de calidad")</f>
        <v>0</v>
      </c>
      <c r="G50" s="11">
        <f>SUMIFS('Bitácora diaria'!$G:$G,'Bitácora diaria'!$A:$A,$A50,'Bitácora diaria'!$F:$F,"Virtualización")</f>
        <v>0</v>
      </c>
      <c r="H50" s="36"/>
      <c r="I50" s="12">
        <f t="shared" si="1"/>
        <v>16</v>
      </c>
    </row>
    <row r="51" spans="1:9" x14ac:dyDescent="0.3">
      <c r="A51" s="26">
        <v>46350</v>
      </c>
      <c r="B51" s="5" t="s">
        <v>90</v>
      </c>
      <c r="C51" s="5" t="s">
        <v>106</v>
      </c>
      <c r="D51" s="11">
        <f>SUMIFS('Bitácora diaria'!$G:$G,'Bitácora diaria'!$A:$A,$A51,'Bitácora diaria'!$F:$F,"Generación")</f>
        <v>0</v>
      </c>
      <c r="E51" s="11">
        <f>SUMIFS('Bitácora diaria'!$G:$G,'Bitácora diaria'!$A:$A,$A51,'Bitácora diaria'!$F:$F,"Revisión")</f>
        <v>16</v>
      </c>
      <c r="F51" s="11">
        <f>SUMIFS('Bitácora diaria'!$G:$G,'Bitácora diaria'!$A:$A,$A51,'Bitácora diaria'!$F:$F,"Control de calidad")</f>
        <v>18</v>
      </c>
      <c r="G51" s="11">
        <f>SUMIFS('Bitácora diaria'!$G:$G,'Bitácora diaria'!$A:$A,$A51,'Bitácora diaria'!$F:$F,"Virtualización")</f>
        <v>0</v>
      </c>
      <c r="H51" s="36"/>
      <c r="I51" s="12">
        <f t="shared" si="1"/>
        <v>34</v>
      </c>
    </row>
    <row r="52" spans="1:9" x14ac:dyDescent="0.3">
      <c r="A52" s="26">
        <v>46351</v>
      </c>
      <c r="B52" s="5" t="s">
        <v>86</v>
      </c>
      <c r="C52" s="5" t="s">
        <v>106</v>
      </c>
      <c r="D52" s="11">
        <f>SUMIFS('Bitácora diaria'!$G:$G,'Bitácora diaria'!$A:$A,$A52,'Bitácora diaria'!$F:$F,"Generación")</f>
        <v>0</v>
      </c>
      <c r="E52" s="11">
        <f>SUMIFS('Bitácora diaria'!$G:$G,'Bitácora diaria'!$A:$A,$A52,'Bitácora diaria'!$F:$F,"Revisión")</f>
        <v>0</v>
      </c>
      <c r="F52" s="11">
        <f>SUMIFS('Bitácora diaria'!$G:$G,'Bitácora diaria'!$A:$A,$A52,'Bitácora diaria'!$F:$F,"Control de calidad")</f>
        <v>16</v>
      </c>
      <c r="G52" s="11">
        <f>SUMIFS('Bitácora diaria'!$G:$G,'Bitácora diaria'!$A:$A,$A52,'Bitácora diaria'!$F:$F,"Virtualización")</f>
        <v>0</v>
      </c>
      <c r="H52" s="36"/>
      <c r="I52" s="12">
        <f t="shared" si="1"/>
        <v>16</v>
      </c>
    </row>
    <row r="53" spans="1:9" x14ac:dyDescent="0.3">
      <c r="A53" s="26">
        <v>46352</v>
      </c>
      <c r="B53" s="5" t="s">
        <v>88</v>
      </c>
      <c r="C53" s="5" t="s">
        <v>106</v>
      </c>
      <c r="D53" s="11">
        <f>SUMIFS('Bitácora diaria'!$G:$G,'Bitácora diaria'!$A:$A,$A53,'Bitácora diaria'!$F:$F,"Generación")</f>
        <v>0</v>
      </c>
      <c r="E53" s="11">
        <f>SUMIFS('Bitácora diaria'!$G:$G,'Bitácora diaria'!$A:$A,$A53,'Bitácora diaria'!$F:$F,"Revisión")</f>
        <v>0</v>
      </c>
      <c r="F53" s="11">
        <f>SUMIFS('Bitácora diaria'!$G:$G,'Bitácora diaria'!$A:$A,$A53,'Bitácora diaria'!$F:$F,"Control de calidad")</f>
        <v>16</v>
      </c>
      <c r="G53" s="11">
        <f>SUMIFS('Bitácora diaria'!$G:$G,'Bitácora diaria'!$A:$A,$A53,'Bitácora diaria'!$F:$F,"Virtualización")</f>
        <v>18</v>
      </c>
      <c r="H53" s="36"/>
      <c r="I53" s="12">
        <f t="shared" si="1"/>
        <v>34</v>
      </c>
    </row>
    <row r="54" spans="1:9" x14ac:dyDescent="0.3">
      <c r="A54" s="26">
        <v>46353</v>
      </c>
      <c r="B54" s="5" t="s">
        <v>89</v>
      </c>
      <c r="C54" s="5" t="s">
        <v>106</v>
      </c>
      <c r="D54" s="11">
        <f>SUMIFS('Bitácora diaria'!$G:$G,'Bitácora diaria'!$A:$A,$A54,'Bitácora diaria'!$F:$F,"Generación")</f>
        <v>0</v>
      </c>
      <c r="E54" s="11">
        <f>SUMIFS('Bitácora diaria'!$G:$G,'Bitácora diaria'!$A:$A,$A54,'Bitácora diaria'!$F:$F,"Revisión")</f>
        <v>0</v>
      </c>
      <c r="F54" s="11">
        <f>SUMIFS('Bitácora diaria'!$G:$G,'Bitácora diaria'!$A:$A,$A54,'Bitácora diaria'!$F:$F,"Control de calidad")</f>
        <v>0</v>
      </c>
      <c r="G54" s="11">
        <f>SUMIFS('Bitácora diaria'!$G:$G,'Bitácora diaria'!$A:$A,$A54,'Bitácora diaria'!$F:$F,"Virtualización")</f>
        <v>16</v>
      </c>
      <c r="H54" s="36"/>
      <c r="I54" s="12">
        <f t="shared" si="1"/>
        <v>16</v>
      </c>
    </row>
    <row r="55" spans="1:9" x14ac:dyDescent="0.3">
      <c r="A55" s="26">
        <v>46356</v>
      </c>
      <c r="B55" s="5" t="s">
        <v>69</v>
      </c>
      <c r="C55" s="5" t="s">
        <v>106</v>
      </c>
      <c r="D55" s="11">
        <f>SUMIFS('Bitácora diaria'!$G:$G,'Bitácora diaria'!$A:$A,$A55,'Bitácora diaria'!$F:$F,"Generación")</f>
        <v>0</v>
      </c>
      <c r="E55" s="11">
        <f>SUMIFS('Bitácora diaria'!$G:$G,'Bitácora diaria'!$A:$A,$A55,'Bitácora diaria'!$F:$F,"Revisión")</f>
        <v>0</v>
      </c>
      <c r="F55" s="11">
        <f>SUMIFS('Bitácora diaria'!$G:$G,'Bitácora diaria'!$A:$A,$A55,'Bitácora diaria'!$F:$F,"Control de calidad")</f>
        <v>0</v>
      </c>
      <c r="G55" s="11">
        <f>SUMIFS('Bitácora diaria'!$G:$G,'Bitácora diaria'!$A:$A,$A55,'Bitácora diaria'!$F:$F,"Virtualización")</f>
        <v>16</v>
      </c>
      <c r="H55" s="36"/>
      <c r="I55" s="12">
        <f t="shared" si="1"/>
        <v>16</v>
      </c>
    </row>
    <row r="57" spans="1:9" x14ac:dyDescent="0.3">
      <c r="C57" s="24" t="s">
        <v>36</v>
      </c>
      <c r="D57" s="34">
        <f>SUM(D2:D55)</f>
        <v>200</v>
      </c>
      <c r="E57" s="34">
        <f>SUM(E2:E55)</f>
        <v>200</v>
      </c>
      <c r="F57" s="34">
        <f>SUM(F2:F55)</f>
        <v>200</v>
      </c>
      <c r="G57" s="34">
        <f>SUM(G2:G55)</f>
        <v>200</v>
      </c>
      <c r="I57" s="34">
        <f>SUM(I2:I55)</f>
        <v>800</v>
      </c>
    </row>
  </sheetData>
  <conditionalFormatting sqref="I2:I55">
    <cfRule type="colorScale" priority="2">
      <colorScale>
        <cfvo type="num" val="0"/>
        <cfvo type="max"/>
        <color rgb="FFFFFFFF"/>
        <color rgb="FF9FD4B8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4"/>
  <sheetViews>
    <sheetView showGridLines="0" topLeftCell="A9" zoomScaleNormal="100" workbookViewId="0"/>
  </sheetViews>
  <sheetFormatPr baseColWidth="10" defaultColWidth="8.5546875" defaultRowHeight="14.4" x14ac:dyDescent="0.3"/>
  <cols>
    <col min="1" max="1" width="12" customWidth="1"/>
    <col min="2" max="4" width="16" customWidth="1"/>
  </cols>
  <sheetData>
    <row r="1" spans="1:4" ht="16.8" x14ac:dyDescent="0.3">
      <c r="A1" s="21" t="s">
        <v>114</v>
      </c>
    </row>
    <row r="3" spans="1:4" x14ac:dyDescent="0.3">
      <c r="A3" s="35" t="s">
        <v>66</v>
      </c>
      <c r="B3" s="35" t="s">
        <v>115</v>
      </c>
      <c r="C3" s="35" t="s">
        <v>116</v>
      </c>
      <c r="D3" s="35" t="s">
        <v>117</v>
      </c>
    </row>
    <row r="4" spans="1:4" x14ac:dyDescent="0.3">
      <c r="A4" s="39">
        <v>46281</v>
      </c>
      <c r="B4" s="5">
        <f>SUMIFS('Bitácora diaria'!$G:$G,'Bitácora diaria'!$A:$A,$A4,'Bitácora diaria'!$F:$F,"Virtualización")</f>
        <v>0</v>
      </c>
      <c r="C4" s="5">
        <f>SUM($B$4:B4)</f>
        <v>0</v>
      </c>
      <c r="D4" s="5" t="str">
        <f>IF(SUMIFS('Bitácora diaria'!$H:$H,'Bitácora diaria'!$A:$A,"&lt;="&amp;$A4,'Bitácora diaria'!$F:$F,"Virtualización")=0,"",SUMIFS('Bitácora diaria'!$H:$H,'Bitácora diaria'!$A:$A,"&lt;="&amp;$A4,'Bitácora diaria'!$F:$F,"Virtualización"))</f>
        <v/>
      </c>
    </row>
    <row r="5" spans="1:4" x14ac:dyDescent="0.3">
      <c r="A5" s="39">
        <v>46282</v>
      </c>
      <c r="B5" s="5">
        <f>SUMIFS('Bitácora diaria'!$G:$G,'Bitácora diaria'!$A:$A,$A5,'Bitácora diaria'!$F:$F,"Virtualización")</f>
        <v>0</v>
      </c>
      <c r="C5" s="5">
        <f>SUM($B$4:B5)</f>
        <v>0</v>
      </c>
      <c r="D5" s="5" t="str">
        <f>IF(SUMIFS('Bitácora diaria'!$H:$H,'Bitácora diaria'!$A:$A,"&lt;="&amp;$A5,'Bitácora diaria'!$F:$F,"Virtualización")=0,"",SUMIFS('Bitácora diaria'!$H:$H,'Bitácora diaria'!$A:$A,"&lt;="&amp;$A5,'Bitácora diaria'!$F:$F,"Virtualización"))</f>
        <v/>
      </c>
    </row>
    <row r="6" spans="1:4" x14ac:dyDescent="0.3">
      <c r="A6" s="39">
        <v>46283</v>
      </c>
      <c r="B6" s="5">
        <f>SUMIFS('Bitácora diaria'!$G:$G,'Bitácora diaria'!$A:$A,$A6,'Bitácora diaria'!$F:$F,"Virtualización")</f>
        <v>0</v>
      </c>
      <c r="C6" s="5">
        <f>SUM($B$4:B6)</f>
        <v>0</v>
      </c>
      <c r="D6" s="5" t="str">
        <f>IF(SUMIFS('Bitácora diaria'!$H:$H,'Bitácora diaria'!$A:$A,"&lt;="&amp;$A6,'Bitácora diaria'!$F:$F,"Virtualización")=0,"",SUMIFS('Bitácora diaria'!$H:$H,'Bitácora diaria'!$A:$A,"&lt;="&amp;$A6,'Bitácora diaria'!$F:$F,"Virtualización"))</f>
        <v/>
      </c>
    </row>
    <row r="7" spans="1:4" x14ac:dyDescent="0.3">
      <c r="A7" s="39">
        <v>46286</v>
      </c>
      <c r="B7" s="5">
        <f>SUMIFS('Bitácora diaria'!$G:$G,'Bitácora diaria'!$A:$A,$A7,'Bitácora diaria'!$F:$F,"Virtualización")</f>
        <v>0</v>
      </c>
      <c r="C7" s="5">
        <f>SUM($B$4:B7)</f>
        <v>0</v>
      </c>
      <c r="D7" s="5" t="str">
        <f>IF(SUMIFS('Bitácora diaria'!$H:$H,'Bitácora diaria'!$A:$A,"&lt;="&amp;$A7,'Bitácora diaria'!$F:$F,"Virtualización")=0,"",SUMIFS('Bitácora diaria'!$H:$H,'Bitácora diaria'!$A:$A,"&lt;="&amp;$A7,'Bitácora diaria'!$F:$F,"Virtualización"))</f>
        <v/>
      </c>
    </row>
    <row r="8" spans="1:4" x14ac:dyDescent="0.3">
      <c r="A8" s="39">
        <v>46287</v>
      </c>
      <c r="B8" s="5">
        <f>SUMIFS('Bitácora diaria'!$G:$G,'Bitácora diaria'!$A:$A,$A8,'Bitácora diaria'!$F:$F,"Virtualización")</f>
        <v>0</v>
      </c>
      <c r="C8" s="5">
        <f>SUM($B$4:B8)</f>
        <v>0</v>
      </c>
      <c r="D8" s="5" t="str">
        <f>IF(SUMIFS('Bitácora diaria'!$H:$H,'Bitácora diaria'!$A:$A,"&lt;="&amp;$A8,'Bitácora diaria'!$F:$F,"Virtualización")=0,"",SUMIFS('Bitácora diaria'!$H:$H,'Bitácora diaria'!$A:$A,"&lt;="&amp;$A8,'Bitácora diaria'!$F:$F,"Virtualización"))</f>
        <v/>
      </c>
    </row>
    <row r="9" spans="1:4" x14ac:dyDescent="0.3">
      <c r="A9" s="39">
        <v>46288</v>
      </c>
      <c r="B9" s="5">
        <f>SUMIFS('Bitácora diaria'!$G:$G,'Bitácora diaria'!$A:$A,$A9,'Bitácora diaria'!$F:$F,"Virtualización")</f>
        <v>0</v>
      </c>
      <c r="C9" s="5">
        <f>SUM($B$4:B9)</f>
        <v>0</v>
      </c>
      <c r="D9" s="5" t="str">
        <f>IF(SUMIFS('Bitácora diaria'!$H:$H,'Bitácora diaria'!$A:$A,"&lt;="&amp;$A9,'Bitácora diaria'!$F:$F,"Virtualización")=0,"",SUMIFS('Bitácora diaria'!$H:$H,'Bitácora diaria'!$A:$A,"&lt;="&amp;$A9,'Bitácora diaria'!$F:$F,"Virtualización"))</f>
        <v/>
      </c>
    </row>
    <row r="10" spans="1:4" x14ac:dyDescent="0.3">
      <c r="A10" s="39">
        <v>46289</v>
      </c>
      <c r="B10" s="5">
        <f>SUMIFS('Bitácora diaria'!$G:$G,'Bitácora diaria'!$A:$A,$A10,'Bitácora diaria'!$F:$F,"Virtualización")</f>
        <v>0</v>
      </c>
      <c r="C10" s="5">
        <f>SUM($B$4:B10)</f>
        <v>0</v>
      </c>
      <c r="D10" s="5" t="str">
        <f>IF(SUMIFS('Bitácora diaria'!$H:$H,'Bitácora diaria'!$A:$A,"&lt;="&amp;$A10,'Bitácora diaria'!$F:$F,"Virtualización")=0,"",SUMIFS('Bitácora diaria'!$H:$H,'Bitácora diaria'!$A:$A,"&lt;="&amp;$A10,'Bitácora diaria'!$F:$F,"Virtualización"))</f>
        <v/>
      </c>
    </row>
    <row r="11" spans="1:4" x14ac:dyDescent="0.3">
      <c r="A11" s="39">
        <v>46290</v>
      </c>
      <c r="B11" s="5">
        <f>SUMIFS('Bitácora diaria'!$G:$G,'Bitácora diaria'!$A:$A,$A11,'Bitácora diaria'!$F:$F,"Virtualización")</f>
        <v>0</v>
      </c>
      <c r="C11" s="5">
        <f>SUM($B$4:B11)</f>
        <v>0</v>
      </c>
      <c r="D11" s="5" t="str">
        <f>IF(SUMIFS('Bitácora diaria'!$H:$H,'Bitácora diaria'!$A:$A,"&lt;="&amp;$A11,'Bitácora diaria'!$F:$F,"Virtualización")=0,"",SUMIFS('Bitácora diaria'!$H:$H,'Bitácora diaria'!$A:$A,"&lt;="&amp;$A11,'Bitácora diaria'!$F:$F,"Virtualización"))</f>
        <v/>
      </c>
    </row>
    <row r="12" spans="1:4" x14ac:dyDescent="0.3">
      <c r="A12" s="39">
        <v>46293</v>
      </c>
      <c r="B12" s="5">
        <f>SUMIFS('Bitácora diaria'!$G:$G,'Bitácora diaria'!$A:$A,$A12,'Bitácora diaria'!$F:$F,"Virtualización")</f>
        <v>0</v>
      </c>
      <c r="C12" s="5">
        <f>SUM($B$4:B12)</f>
        <v>0</v>
      </c>
      <c r="D12" s="5" t="str">
        <f>IF(SUMIFS('Bitácora diaria'!$H:$H,'Bitácora diaria'!$A:$A,"&lt;="&amp;$A12,'Bitácora diaria'!$F:$F,"Virtualización")=0,"",SUMIFS('Bitácora diaria'!$H:$H,'Bitácora diaria'!$A:$A,"&lt;="&amp;$A12,'Bitácora diaria'!$F:$F,"Virtualización"))</f>
        <v/>
      </c>
    </row>
    <row r="13" spans="1:4" x14ac:dyDescent="0.3">
      <c r="A13" s="39">
        <v>46294</v>
      </c>
      <c r="B13" s="5">
        <f>SUMIFS('Bitácora diaria'!$G:$G,'Bitácora diaria'!$A:$A,$A13,'Bitácora diaria'!$F:$F,"Virtualización")</f>
        <v>0</v>
      </c>
      <c r="C13" s="5">
        <f>SUM($B$4:B13)</f>
        <v>0</v>
      </c>
      <c r="D13" s="5" t="str">
        <f>IF(SUMIFS('Bitácora diaria'!$H:$H,'Bitácora diaria'!$A:$A,"&lt;="&amp;$A13,'Bitácora diaria'!$F:$F,"Virtualización")=0,"",SUMIFS('Bitácora diaria'!$H:$H,'Bitácora diaria'!$A:$A,"&lt;="&amp;$A13,'Bitácora diaria'!$F:$F,"Virtualización"))</f>
        <v/>
      </c>
    </row>
    <row r="14" spans="1:4" x14ac:dyDescent="0.3">
      <c r="A14" s="39">
        <v>46295</v>
      </c>
      <c r="B14" s="5">
        <f>SUMIFS('Bitácora diaria'!$G:$G,'Bitácora diaria'!$A:$A,$A14,'Bitácora diaria'!$F:$F,"Virtualización")</f>
        <v>0</v>
      </c>
      <c r="C14" s="5">
        <f>SUM($B$4:B14)</f>
        <v>0</v>
      </c>
      <c r="D14" s="5" t="str">
        <f>IF(SUMIFS('Bitácora diaria'!$H:$H,'Bitácora diaria'!$A:$A,"&lt;="&amp;$A14,'Bitácora diaria'!$F:$F,"Virtualización")=0,"",SUMIFS('Bitácora diaria'!$H:$H,'Bitácora diaria'!$A:$A,"&lt;="&amp;$A14,'Bitácora diaria'!$F:$F,"Virtualización"))</f>
        <v/>
      </c>
    </row>
    <row r="15" spans="1:4" x14ac:dyDescent="0.3">
      <c r="A15" s="39">
        <v>46296</v>
      </c>
      <c r="B15" s="5">
        <f>SUMIFS('Bitácora diaria'!$G:$G,'Bitácora diaria'!$A:$A,$A15,'Bitácora diaria'!$F:$F,"Virtualización")</f>
        <v>0</v>
      </c>
      <c r="C15" s="5">
        <f>SUM($B$4:B15)</f>
        <v>0</v>
      </c>
      <c r="D15" s="5" t="str">
        <f>IF(SUMIFS('Bitácora diaria'!$H:$H,'Bitácora diaria'!$A:$A,"&lt;="&amp;$A15,'Bitácora diaria'!$F:$F,"Virtualización")=0,"",SUMIFS('Bitácora diaria'!$H:$H,'Bitácora diaria'!$A:$A,"&lt;="&amp;$A15,'Bitácora diaria'!$F:$F,"Virtualización"))</f>
        <v/>
      </c>
    </row>
    <row r="16" spans="1:4" x14ac:dyDescent="0.3">
      <c r="A16" s="39">
        <v>46297</v>
      </c>
      <c r="B16" s="5">
        <f>SUMIFS('Bitácora diaria'!$G:$G,'Bitácora diaria'!$A:$A,$A16,'Bitácora diaria'!$F:$F,"Virtualización")</f>
        <v>0</v>
      </c>
      <c r="C16" s="5">
        <f>SUM($B$4:B16)</f>
        <v>0</v>
      </c>
      <c r="D16" s="5" t="str">
        <f>IF(SUMIFS('Bitácora diaria'!$H:$H,'Bitácora diaria'!$A:$A,"&lt;="&amp;$A16,'Bitácora diaria'!$F:$F,"Virtualización")=0,"",SUMIFS('Bitácora diaria'!$H:$H,'Bitácora diaria'!$A:$A,"&lt;="&amp;$A16,'Bitácora diaria'!$F:$F,"Virtualización"))</f>
        <v/>
      </c>
    </row>
    <row r="17" spans="1:4" x14ac:dyDescent="0.3">
      <c r="A17" s="39">
        <v>46300</v>
      </c>
      <c r="B17" s="5">
        <f>SUMIFS('Bitácora diaria'!$G:$G,'Bitácora diaria'!$A:$A,$A17,'Bitácora diaria'!$F:$F,"Virtualización")</f>
        <v>0</v>
      </c>
      <c r="C17" s="5">
        <f>SUM($B$4:B17)</f>
        <v>0</v>
      </c>
      <c r="D17" s="5" t="str">
        <f>IF(SUMIFS('Bitácora diaria'!$H:$H,'Bitácora diaria'!$A:$A,"&lt;="&amp;$A17,'Bitácora diaria'!$F:$F,"Virtualización")=0,"",SUMIFS('Bitácora diaria'!$H:$H,'Bitácora diaria'!$A:$A,"&lt;="&amp;$A17,'Bitácora diaria'!$F:$F,"Virtualización"))</f>
        <v/>
      </c>
    </row>
    <row r="18" spans="1:4" x14ac:dyDescent="0.3">
      <c r="A18" s="39">
        <v>46301</v>
      </c>
      <c r="B18" s="5">
        <f>SUMIFS('Bitácora diaria'!$G:$G,'Bitácora diaria'!$A:$A,$A18,'Bitácora diaria'!$F:$F,"Virtualización")</f>
        <v>0</v>
      </c>
      <c r="C18" s="5">
        <f>SUM($B$4:B18)</f>
        <v>0</v>
      </c>
      <c r="D18" s="5" t="str">
        <f>IF(SUMIFS('Bitácora diaria'!$H:$H,'Bitácora diaria'!$A:$A,"&lt;="&amp;$A18,'Bitácora diaria'!$F:$F,"Virtualización")=0,"",SUMIFS('Bitácora diaria'!$H:$H,'Bitácora diaria'!$A:$A,"&lt;="&amp;$A18,'Bitácora diaria'!$F:$F,"Virtualización"))</f>
        <v/>
      </c>
    </row>
    <row r="19" spans="1:4" x14ac:dyDescent="0.3">
      <c r="A19" s="39">
        <v>46302</v>
      </c>
      <c r="B19" s="5">
        <f>SUMIFS('Bitácora diaria'!$G:$G,'Bitácora diaria'!$A:$A,$A19,'Bitácora diaria'!$F:$F,"Virtualización")</f>
        <v>0</v>
      </c>
      <c r="C19" s="5">
        <f>SUM($B$4:B19)</f>
        <v>0</v>
      </c>
      <c r="D19" s="5" t="str">
        <f>IF(SUMIFS('Bitácora diaria'!$H:$H,'Bitácora diaria'!$A:$A,"&lt;="&amp;$A19,'Bitácora diaria'!$F:$F,"Virtualización")=0,"",SUMIFS('Bitácora diaria'!$H:$H,'Bitácora diaria'!$A:$A,"&lt;="&amp;$A19,'Bitácora diaria'!$F:$F,"Virtualización"))</f>
        <v/>
      </c>
    </row>
    <row r="20" spans="1:4" x14ac:dyDescent="0.3">
      <c r="A20" s="39">
        <v>46303</v>
      </c>
      <c r="B20" s="5">
        <f>SUMIFS('Bitácora diaria'!$G:$G,'Bitácora diaria'!$A:$A,$A20,'Bitácora diaria'!$F:$F,"Virtualización")</f>
        <v>10</v>
      </c>
      <c r="C20" s="5">
        <f>SUM($B$4:B20)</f>
        <v>10</v>
      </c>
      <c r="D20" s="5" t="str">
        <f>IF(SUMIFS('Bitácora diaria'!$H:$H,'Bitácora diaria'!$A:$A,"&lt;="&amp;$A20,'Bitácora diaria'!$F:$F,"Virtualización")=0,"",SUMIFS('Bitácora diaria'!$H:$H,'Bitácora diaria'!$A:$A,"&lt;="&amp;$A20,'Bitácora diaria'!$F:$F,"Virtualización"))</f>
        <v/>
      </c>
    </row>
    <row r="21" spans="1:4" x14ac:dyDescent="0.3">
      <c r="A21" s="39">
        <v>46304</v>
      </c>
      <c r="B21" s="5">
        <f>SUMIFS('Bitácora diaria'!$G:$G,'Bitácora diaria'!$A:$A,$A21,'Bitácora diaria'!$F:$F,"Virtualización")</f>
        <v>10</v>
      </c>
      <c r="C21" s="5">
        <f>SUM($B$4:B21)</f>
        <v>20</v>
      </c>
      <c r="D21" s="5" t="str">
        <f>IF(SUMIFS('Bitácora diaria'!$H:$H,'Bitácora diaria'!$A:$A,"&lt;="&amp;$A21,'Bitácora diaria'!$F:$F,"Virtualización")=0,"",SUMIFS('Bitácora diaria'!$H:$H,'Bitácora diaria'!$A:$A,"&lt;="&amp;$A21,'Bitácora diaria'!$F:$F,"Virtualización"))</f>
        <v/>
      </c>
    </row>
    <row r="22" spans="1:4" x14ac:dyDescent="0.3">
      <c r="A22" s="39">
        <v>46308</v>
      </c>
      <c r="B22" s="5">
        <f>SUMIFS('Bitácora diaria'!$G:$G,'Bitácora diaria'!$A:$A,$A22,'Bitácora diaria'!$F:$F,"Virtualización")</f>
        <v>10</v>
      </c>
      <c r="C22" s="5">
        <f>SUM($B$4:B22)</f>
        <v>30</v>
      </c>
      <c r="D22" s="5" t="str">
        <f>IF(SUMIFS('Bitácora diaria'!$H:$H,'Bitácora diaria'!$A:$A,"&lt;="&amp;$A22,'Bitácora diaria'!$F:$F,"Virtualización")=0,"",SUMIFS('Bitácora diaria'!$H:$H,'Bitácora diaria'!$A:$A,"&lt;="&amp;$A22,'Bitácora diaria'!$F:$F,"Virtualización"))</f>
        <v/>
      </c>
    </row>
    <row r="23" spans="1:4" x14ac:dyDescent="0.3">
      <c r="A23" s="39">
        <v>46309</v>
      </c>
      <c r="B23" s="5">
        <f>SUMIFS('Bitácora diaria'!$G:$G,'Bitácora diaria'!$A:$A,$A23,'Bitácora diaria'!$F:$F,"Virtualización")</f>
        <v>10</v>
      </c>
      <c r="C23" s="5">
        <f>SUM($B$4:B23)</f>
        <v>40</v>
      </c>
      <c r="D23" s="5" t="str">
        <f>IF(SUMIFS('Bitácora diaria'!$H:$H,'Bitácora diaria'!$A:$A,"&lt;="&amp;$A23,'Bitácora diaria'!$F:$F,"Virtualización")=0,"",SUMIFS('Bitácora diaria'!$H:$H,'Bitácora diaria'!$A:$A,"&lt;="&amp;$A23,'Bitácora diaria'!$F:$F,"Virtualización"))</f>
        <v/>
      </c>
    </row>
    <row r="24" spans="1:4" x14ac:dyDescent="0.3">
      <c r="A24" s="39">
        <v>46310</v>
      </c>
      <c r="B24" s="5">
        <f>SUMIFS('Bitácora diaria'!$G:$G,'Bitácora diaria'!$A:$A,$A24,'Bitácora diaria'!$F:$F,"Virtualización")</f>
        <v>10</v>
      </c>
      <c r="C24" s="5">
        <f>SUM($B$4:B24)</f>
        <v>50</v>
      </c>
      <c r="D24" s="5" t="str">
        <f>IF(SUMIFS('Bitácora diaria'!$H:$H,'Bitácora diaria'!$A:$A,"&lt;="&amp;$A24,'Bitácora diaria'!$F:$F,"Virtualización")=0,"",SUMIFS('Bitácora diaria'!$H:$H,'Bitácora diaria'!$A:$A,"&lt;="&amp;$A24,'Bitácora diaria'!$F:$F,"Virtualización"))</f>
        <v/>
      </c>
    </row>
    <row r="25" spans="1:4" x14ac:dyDescent="0.3">
      <c r="A25" s="39">
        <v>46311</v>
      </c>
      <c r="B25" s="5">
        <f>SUMIFS('Bitácora diaria'!$G:$G,'Bitácora diaria'!$A:$A,$A25,'Bitácora diaria'!$F:$F,"Virtualización")</f>
        <v>0</v>
      </c>
      <c r="C25" s="5">
        <f>SUM($B$4:B25)</f>
        <v>50</v>
      </c>
      <c r="D25" s="5" t="str">
        <f>IF(SUMIFS('Bitácora diaria'!$H:$H,'Bitácora diaria'!$A:$A,"&lt;="&amp;$A25,'Bitácora diaria'!$F:$F,"Virtualización")=0,"",SUMIFS('Bitácora diaria'!$H:$H,'Bitácora diaria'!$A:$A,"&lt;="&amp;$A25,'Bitácora diaria'!$F:$F,"Virtualización"))</f>
        <v/>
      </c>
    </row>
    <row r="26" spans="1:4" x14ac:dyDescent="0.3">
      <c r="A26" s="39">
        <v>46314</v>
      </c>
      <c r="B26" s="5">
        <f>SUMIFS('Bitácora diaria'!$G:$G,'Bitácora diaria'!$A:$A,$A26,'Bitácora diaria'!$F:$F,"Virtualización")</f>
        <v>0</v>
      </c>
      <c r="C26" s="5">
        <f>SUM($B$4:B26)</f>
        <v>50</v>
      </c>
      <c r="D26" s="5" t="str">
        <f>IF(SUMIFS('Bitácora diaria'!$H:$H,'Bitácora diaria'!$A:$A,"&lt;="&amp;$A26,'Bitácora diaria'!$F:$F,"Virtualización")=0,"",SUMIFS('Bitácora diaria'!$H:$H,'Bitácora diaria'!$A:$A,"&lt;="&amp;$A26,'Bitácora diaria'!$F:$F,"Virtualización"))</f>
        <v/>
      </c>
    </row>
    <row r="27" spans="1:4" x14ac:dyDescent="0.3">
      <c r="A27" s="39">
        <v>46315</v>
      </c>
      <c r="B27" s="5">
        <f>SUMIFS('Bitácora diaria'!$G:$G,'Bitácora diaria'!$A:$A,$A27,'Bitácora diaria'!$F:$F,"Virtualización")</f>
        <v>0</v>
      </c>
      <c r="C27" s="5">
        <f>SUM($B$4:B27)</f>
        <v>50</v>
      </c>
      <c r="D27" s="5" t="str">
        <f>IF(SUMIFS('Bitácora diaria'!$H:$H,'Bitácora diaria'!$A:$A,"&lt;="&amp;$A27,'Bitácora diaria'!$F:$F,"Virtualización")=0,"",SUMIFS('Bitácora diaria'!$H:$H,'Bitácora diaria'!$A:$A,"&lt;="&amp;$A27,'Bitácora diaria'!$F:$F,"Virtualización"))</f>
        <v/>
      </c>
    </row>
    <row r="28" spans="1:4" x14ac:dyDescent="0.3">
      <c r="A28" s="39">
        <v>46316</v>
      </c>
      <c r="B28" s="5">
        <f>SUMIFS('Bitácora diaria'!$G:$G,'Bitácora diaria'!$A:$A,$A28,'Bitácora diaria'!$F:$F,"Virtualización")</f>
        <v>0</v>
      </c>
      <c r="C28" s="5">
        <f>SUM($B$4:B28)</f>
        <v>50</v>
      </c>
      <c r="D28" s="5" t="str">
        <f>IF(SUMIFS('Bitácora diaria'!$H:$H,'Bitácora diaria'!$A:$A,"&lt;="&amp;$A28,'Bitácora diaria'!$F:$F,"Virtualización")=0,"",SUMIFS('Bitácora diaria'!$H:$H,'Bitácora diaria'!$A:$A,"&lt;="&amp;$A28,'Bitácora diaria'!$F:$F,"Virtualización"))</f>
        <v/>
      </c>
    </row>
    <row r="29" spans="1:4" x14ac:dyDescent="0.3">
      <c r="A29" s="39">
        <v>46317</v>
      </c>
      <c r="B29" s="5">
        <f>SUMIFS('Bitácora diaria'!$G:$G,'Bitácora diaria'!$A:$A,$A29,'Bitácora diaria'!$F:$F,"Virtualización")</f>
        <v>0</v>
      </c>
      <c r="C29" s="5">
        <f>SUM($B$4:B29)</f>
        <v>50</v>
      </c>
      <c r="D29" s="5" t="str">
        <f>IF(SUMIFS('Bitácora diaria'!$H:$H,'Bitácora diaria'!$A:$A,"&lt;="&amp;$A29,'Bitácora diaria'!$F:$F,"Virtualización")=0,"",SUMIFS('Bitácora diaria'!$H:$H,'Bitácora diaria'!$A:$A,"&lt;="&amp;$A29,'Bitácora diaria'!$F:$F,"Virtualización"))</f>
        <v/>
      </c>
    </row>
    <row r="30" spans="1:4" x14ac:dyDescent="0.3">
      <c r="A30" s="39">
        <v>46318</v>
      </c>
      <c r="B30" s="5">
        <f>SUMIFS('Bitácora diaria'!$G:$G,'Bitácora diaria'!$A:$A,$A30,'Bitácora diaria'!$F:$F,"Virtualización")</f>
        <v>0</v>
      </c>
      <c r="C30" s="5">
        <f>SUM($B$4:B30)</f>
        <v>50</v>
      </c>
      <c r="D30" s="5" t="str">
        <f>IF(SUMIFS('Bitácora diaria'!$H:$H,'Bitácora diaria'!$A:$A,"&lt;="&amp;$A30,'Bitácora diaria'!$F:$F,"Virtualización")=0,"",SUMIFS('Bitácora diaria'!$H:$H,'Bitácora diaria'!$A:$A,"&lt;="&amp;$A30,'Bitácora diaria'!$F:$F,"Virtualización"))</f>
        <v/>
      </c>
    </row>
    <row r="31" spans="1:4" x14ac:dyDescent="0.3">
      <c r="A31" s="39">
        <v>46321</v>
      </c>
      <c r="B31" s="5">
        <f>SUMIFS('Bitácora diaria'!$G:$G,'Bitácora diaria'!$A:$A,$A31,'Bitácora diaria'!$F:$F,"Virtualización")</f>
        <v>0</v>
      </c>
      <c r="C31" s="5">
        <f>SUM($B$4:B31)</f>
        <v>50</v>
      </c>
      <c r="D31" s="5" t="str">
        <f>IF(SUMIFS('Bitácora diaria'!$H:$H,'Bitácora diaria'!$A:$A,"&lt;="&amp;$A31,'Bitácora diaria'!$F:$F,"Virtualización")=0,"",SUMIFS('Bitácora diaria'!$H:$H,'Bitácora diaria'!$A:$A,"&lt;="&amp;$A31,'Bitácora diaria'!$F:$F,"Virtualización"))</f>
        <v/>
      </c>
    </row>
    <row r="32" spans="1:4" x14ac:dyDescent="0.3">
      <c r="A32" s="39">
        <v>46322</v>
      </c>
      <c r="B32" s="5">
        <f>SUMIFS('Bitácora diaria'!$G:$G,'Bitácora diaria'!$A:$A,$A32,'Bitácora diaria'!$F:$F,"Virtualización")</f>
        <v>0</v>
      </c>
      <c r="C32" s="5">
        <f>SUM($B$4:B32)</f>
        <v>50</v>
      </c>
      <c r="D32" s="5" t="str">
        <f>IF(SUMIFS('Bitácora diaria'!$H:$H,'Bitácora diaria'!$A:$A,"&lt;="&amp;$A32,'Bitácora diaria'!$F:$F,"Virtualización")=0,"",SUMIFS('Bitácora diaria'!$H:$H,'Bitácora diaria'!$A:$A,"&lt;="&amp;$A32,'Bitácora diaria'!$F:$F,"Virtualización"))</f>
        <v/>
      </c>
    </row>
    <row r="33" spans="1:4" x14ac:dyDescent="0.3">
      <c r="A33" s="39">
        <v>46323</v>
      </c>
      <c r="B33" s="5">
        <f>SUMIFS('Bitácora diaria'!$G:$G,'Bitácora diaria'!$A:$A,$A33,'Bitácora diaria'!$F:$F,"Virtualización")</f>
        <v>18</v>
      </c>
      <c r="C33" s="5">
        <f>SUM($B$4:B33)</f>
        <v>68</v>
      </c>
      <c r="D33" s="5" t="str">
        <f>IF(SUMIFS('Bitácora diaria'!$H:$H,'Bitácora diaria'!$A:$A,"&lt;="&amp;$A33,'Bitácora diaria'!$F:$F,"Virtualización")=0,"",SUMIFS('Bitácora diaria'!$H:$H,'Bitácora diaria'!$A:$A,"&lt;="&amp;$A33,'Bitácora diaria'!$F:$F,"Virtualización"))</f>
        <v/>
      </c>
    </row>
    <row r="34" spans="1:4" x14ac:dyDescent="0.3">
      <c r="A34" s="39">
        <v>46324</v>
      </c>
      <c r="B34" s="5">
        <f>SUMIFS('Bitácora diaria'!$G:$G,'Bitácora diaria'!$A:$A,$A34,'Bitácora diaria'!$F:$F,"Virtualización")</f>
        <v>16</v>
      </c>
      <c r="C34" s="5">
        <f>SUM($B$4:B34)</f>
        <v>84</v>
      </c>
      <c r="D34" s="5" t="str">
        <f>IF(SUMIFS('Bitácora diaria'!$H:$H,'Bitácora diaria'!$A:$A,"&lt;="&amp;$A34,'Bitácora diaria'!$F:$F,"Virtualización")=0,"",SUMIFS('Bitácora diaria'!$H:$H,'Bitácora diaria'!$A:$A,"&lt;="&amp;$A34,'Bitácora diaria'!$F:$F,"Virtualización"))</f>
        <v/>
      </c>
    </row>
    <row r="35" spans="1:4" x14ac:dyDescent="0.3">
      <c r="A35" s="39">
        <v>46325</v>
      </c>
      <c r="B35" s="5">
        <f>SUMIFS('Bitácora diaria'!$G:$G,'Bitácora diaria'!$A:$A,$A35,'Bitácora diaria'!$F:$F,"Virtualización")</f>
        <v>16</v>
      </c>
      <c r="C35" s="5">
        <f>SUM($B$4:B35)</f>
        <v>100</v>
      </c>
      <c r="D35" s="5" t="str">
        <f>IF(SUMIFS('Bitácora diaria'!$H:$H,'Bitácora diaria'!$A:$A,"&lt;="&amp;$A35,'Bitácora diaria'!$F:$F,"Virtualización")=0,"",SUMIFS('Bitácora diaria'!$H:$H,'Bitácora diaria'!$A:$A,"&lt;="&amp;$A35,'Bitácora diaria'!$F:$F,"Virtualización"))</f>
        <v/>
      </c>
    </row>
    <row r="36" spans="1:4" x14ac:dyDescent="0.3">
      <c r="A36" s="39">
        <v>46329</v>
      </c>
      <c r="B36" s="5">
        <f>SUMIFS('Bitácora diaria'!$G:$G,'Bitácora diaria'!$A:$A,$A36,'Bitácora diaria'!$F:$F,"Virtualización")</f>
        <v>0</v>
      </c>
      <c r="C36" s="5">
        <f>SUM($B$4:B36)</f>
        <v>100</v>
      </c>
      <c r="D36" s="5" t="str">
        <f>IF(SUMIFS('Bitácora diaria'!$H:$H,'Bitácora diaria'!$A:$A,"&lt;="&amp;$A36,'Bitácora diaria'!$F:$F,"Virtualización")=0,"",SUMIFS('Bitácora diaria'!$H:$H,'Bitácora diaria'!$A:$A,"&lt;="&amp;$A36,'Bitácora diaria'!$F:$F,"Virtualización"))</f>
        <v/>
      </c>
    </row>
    <row r="37" spans="1:4" x14ac:dyDescent="0.3">
      <c r="A37" s="39">
        <v>46330</v>
      </c>
      <c r="B37" s="5">
        <f>SUMIFS('Bitácora diaria'!$G:$G,'Bitácora diaria'!$A:$A,$A37,'Bitácora diaria'!$F:$F,"Virtualización")</f>
        <v>0</v>
      </c>
      <c r="C37" s="5">
        <f>SUM($B$4:B37)</f>
        <v>100</v>
      </c>
      <c r="D37" s="5" t="str">
        <f>IF(SUMIFS('Bitácora diaria'!$H:$H,'Bitácora diaria'!$A:$A,"&lt;="&amp;$A37,'Bitácora diaria'!$F:$F,"Virtualización")=0,"",SUMIFS('Bitácora diaria'!$H:$H,'Bitácora diaria'!$A:$A,"&lt;="&amp;$A37,'Bitácora diaria'!$F:$F,"Virtualización"))</f>
        <v/>
      </c>
    </row>
    <row r="38" spans="1:4" x14ac:dyDescent="0.3">
      <c r="A38" s="39">
        <v>46331</v>
      </c>
      <c r="B38" s="5">
        <f>SUMIFS('Bitácora diaria'!$G:$G,'Bitácora diaria'!$A:$A,$A38,'Bitácora diaria'!$F:$F,"Virtualización")</f>
        <v>0</v>
      </c>
      <c r="C38" s="5">
        <f>SUM($B$4:B38)</f>
        <v>100</v>
      </c>
      <c r="D38" s="5" t="str">
        <f>IF(SUMIFS('Bitácora diaria'!$H:$H,'Bitácora diaria'!$A:$A,"&lt;="&amp;$A38,'Bitácora diaria'!$F:$F,"Virtualización")=0,"",SUMIFS('Bitácora diaria'!$H:$H,'Bitácora diaria'!$A:$A,"&lt;="&amp;$A38,'Bitácora diaria'!$F:$F,"Virtualización"))</f>
        <v/>
      </c>
    </row>
    <row r="39" spans="1:4" x14ac:dyDescent="0.3">
      <c r="A39" s="39">
        <v>46332</v>
      </c>
      <c r="B39" s="5">
        <f>SUMIFS('Bitácora diaria'!$G:$G,'Bitácora diaria'!$A:$A,$A39,'Bitácora diaria'!$F:$F,"Virtualización")</f>
        <v>0</v>
      </c>
      <c r="C39" s="5">
        <f>SUM($B$4:B39)</f>
        <v>100</v>
      </c>
      <c r="D39" s="5" t="str">
        <f>IF(SUMIFS('Bitácora diaria'!$H:$H,'Bitácora diaria'!$A:$A,"&lt;="&amp;$A39,'Bitácora diaria'!$F:$F,"Virtualización")=0,"",SUMIFS('Bitácora diaria'!$H:$H,'Bitácora diaria'!$A:$A,"&lt;="&amp;$A39,'Bitácora diaria'!$F:$F,"Virtualización"))</f>
        <v/>
      </c>
    </row>
    <row r="40" spans="1:4" x14ac:dyDescent="0.3">
      <c r="A40" s="39">
        <v>46335</v>
      </c>
      <c r="B40" s="5">
        <f>SUMIFS('Bitácora diaria'!$G:$G,'Bitácora diaria'!$A:$A,$A40,'Bitácora diaria'!$F:$F,"Virtualización")</f>
        <v>0</v>
      </c>
      <c r="C40" s="5">
        <f>SUM($B$4:B40)</f>
        <v>100</v>
      </c>
      <c r="D40" s="5" t="str">
        <f>IF(SUMIFS('Bitácora diaria'!$H:$H,'Bitácora diaria'!$A:$A,"&lt;="&amp;$A40,'Bitácora diaria'!$F:$F,"Virtualización")=0,"",SUMIFS('Bitácora diaria'!$H:$H,'Bitácora diaria'!$A:$A,"&lt;="&amp;$A40,'Bitácora diaria'!$F:$F,"Virtualización"))</f>
        <v/>
      </c>
    </row>
    <row r="41" spans="1:4" x14ac:dyDescent="0.3">
      <c r="A41" s="39">
        <v>46336</v>
      </c>
      <c r="B41" s="5">
        <f>SUMIFS('Bitácora diaria'!$G:$G,'Bitácora diaria'!$A:$A,$A41,'Bitácora diaria'!$F:$F,"Virtualización")</f>
        <v>0</v>
      </c>
      <c r="C41" s="5">
        <f>SUM($B$4:B41)</f>
        <v>100</v>
      </c>
      <c r="D41" s="5" t="str">
        <f>IF(SUMIFS('Bitácora diaria'!$H:$H,'Bitácora diaria'!$A:$A,"&lt;="&amp;$A41,'Bitácora diaria'!$F:$F,"Virtualización")=0,"",SUMIFS('Bitácora diaria'!$H:$H,'Bitácora diaria'!$A:$A,"&lt;="&amp;$A41,'Bitácora diaria'!$F:$F,"Virtualización"))</f>
        <v/>
      </c>
    </row>
    <row r="42" spans="1:4" x14ac:dyDescent="0.3">
      <c r="A42" s="39">
        <v>46337</v>
      </c>
      <c r="B42" s="5">
        <f>SUMIFS('Bitácora diaria'!$G:$G,'Bitácora diaria'!$A:$A,$A42,'Bitácora diaria'!$F:$F,"Virtualización")</f>
        <v>18</v>
      </c>
      <c r="C42" s="5">
        <f>SUM($B$4:B42)</f>
        <v>118</v>
      </c>
      <c r="D42" s="5" t="str">
        <f>IF(SUMIFS('Bitácora diaria'!$H:$H,'Bitácora diaria'!$A:$A,"&lt;="&amp;$A42,'Bitácora diaria'!$F:$F,"Virtualización")=0,"",SUMIFS('Bitácora diaria'!$H:$H,'Bitácora diaria'!$A:$A,"&lt;="&amp;$A42,'Bitácora diaria'!$F:$F,"Virtualización"))</f>
        <v/>
      </c>
    </row>
    <row r="43" spans="1:4" x14ac:dyDescent="0.3">
      <c r="A43" s="39">
        <v>46338</v>
      </c>
      <c r="B43" s="5">
        <f>SUMIFS('Bitácora diaria'!$G:$G,'Bitácora diaria'!$A:$A,$A43,'Bitácora diaria'!$F:$F,"Virtualización")</f>
        <v>16</v>
      </c>
      <c r="C43" s="5">
        <f>SUM($B$4:B43)</f>
        <v>134</v>
      </c>
      <c r="D43" s="5" t="str">
        <f>IF(SUMIFS('Bitácora diaria'!$H:$H,'Bitácora diaria'!$A:$A,"&lt;="&amp;$A43,'Bitácora diaria'!$F:$F,"Virtualización")=0,"",SUMIFS('Bitácora diaria'!$H:$H,'Bitácora diaria'!$A:$A,"&lt;="&amp;$A43,'Bitácora diaria'!$F:$F,"Virtualización"))</f>
        <v/>
      </c>
    </row>
    <row r="44" spans="1:4" x14ac:dyDescent="0.3">
      <c r="A44" s="39">
        <v>46339</v>
      </c>
      <c r="B44" s="5">
        <f>SUMIFS('Bitácora diaria'!$G:$G,'Bitácora diaria'!$A:$A,$A44,'Bitácora diaria'!$F:$F,"Virtualización")</f>
        <v>16</v>
      </c>
      <c r="C44" s="5">
        <f>SUM($B$4:B44)</f>
        <v>150</v>
      </c>
      <c r="D44" s="5" t="str">
        <f>IF(SUMIFS('Bitácora diaria'!$H:$H,'Bitácora diaria'!$A:$A,"&lt;="&amp;$A44,'Bitácora diaria'!$F:$F,"Virtualización")=0,"",SUMIFS('Bitácora diaria'!$H:$H,'Bitácora diaria'!$A:$A,"&lt;="&amp;$A44,'Bitácora diaria'!$F:$F,"Virtualización"))</f>
        <v/>
      </c>
    </row>
    <row r="45" spans="1:4" x14ac:dyDescent="0.3">
      <c r="A45" s="39">
        <v>46343</v>
      </c>
      <c r="B45" s="5">
        <f>SUMIFS('Bitácora diaria'!$G:$G,'Bitácora diaria'!$A:$A,$A45,'Bitácora diaria'!$F:$F,"Virtualización")</f>
        <v>0</v>
      </c>
      <c r="C45" s="5">
        <f>SUM($B$4:B45)</f>
        <v>150</v>
      </c>
      <c r="D45" s="5" t="str">
        <f>IF(SUMIFS('Bitácora diaria'!$H:$H,'Bitácora diaria'!$A:$A,"&lt;="&amp;$A45,'Bitácora diaria'!$F:$F,"Virtualización")=0,"",SUMIFS('Bitácora diaria'!$H:$H,'Bitácora diaria'!$A:$A,"&lt;="&amp;$A45,'Bitácora diaria'!$F:$F,"Virtualización"))</f>
        <v/>
      </c>
    </row>
    <row r="46" spans="1:4" x14ac:dyDescent="0.3">
      <c r="A46" s="39">
        <v>46344</v>
      </c>
      <c r="B46" s="5">
        <f>SUMIFS('Bitácora diaria'!$G:$G,'Bitácora diaria'!$A:$A,$A46,'Bitácora diaria'!$F:$F,"Virtualización")</f>
        <v>0</v>
      </c>
      <c r="C46" s="5">
        <f>SUM($B$4:B46)</f>
        <v>150</v>
      </c>
      <c r="D46" s="5" t="str">
        <f>IF(SUMIFS('Bitácora diaria'!$H:$H,'Bitácora diaria'!$A:$A,"&lt;="&amp;$A46,'Bitácora diaria'!$F:$F,"Virtualización")=0,"",SUMIFS('Bitácora diaria'!$H:$H,'Bitácora diaria'!$A:$A,"&lt;="&amp;$A46,'Bitácora diaria'!$F:$F,"Virtualización"))</f>
        <v/>
      </c>
    </row>
    <row r="47" spans="1:4" x14ac:dyDescent="0.3">
      <c r="A47" s="39">
        <v>46345</v>
      </c>
      <c r="B47" s="5">
        <f>SUMIFS('Bitácora diaria'!$G:$G,'Bitácora diaria'!$A:$A,$A47,'Bitácora diaria'!$F:$F,"Virtualización")</f>
        <v>0</v>
      </c>
      <c r="C47" s="5">
        <f>SUM($B$4:B47)</f>
        <v>150</v>
      </c>
      <c r="D47" s="5" t="str">
        <f>IF(SUMIFS('Bitácora diaria'!$H:$H,'Bitácora diaria'!$A:$A,"&lt;="&amp;$A47,'Bitácora diaria'!$F:$F,"Virtualización")=0,"",SUMIFS('Bitácora diaria'!$H:$H,'Bitácora diaria'!$A:$A,"&lt;="&amp;$A47,'Bitácora diaria'!$F:$F,"Virtualización"))</f>
        <v/>
      </c>
    </row>
    <row r="48" spans="1:4" x14ac:dyDescent="0.3">
      <c r="A48" s="39">
        <v>46346</v>
      </c>
      <c r="B48" s="5">
        <f>SUMIFS('Bitácora diaria'!$G:$G,'Bitácora diaria'!$A:$A,$A48,'Bitácora diaria'!$F:$F,"Virtualización")</f>
        <v>0</v>
      </c>
      <c r="C48" s="5">
        <f>SUM($B$4:B48)</f>
        <v>150</v>
      </c>
      <c r="D48" s="5" t="str">
        <f>IF(SUMIFS('Bitácora diaria'!$H:$H,'Bitácora diaria'!$A:$A,"&lt;="&amp;$A48,'Bitácora diaria'!$F:$F,"Virtualización")=0,"",SUMIFS('Bitácora diaria'!$H:$H,'Bitácora diaria'!$A:$A,"&lt;="&amp;$A48,'Bitácora diaria'!$F:$F,"Virtualización"))</f>
        <v/>
      </c>
    </row>
    <row r="49" spans="1:4" x14ac:dyDescent="0.3">
      <c r="A49" s="39">
        <v>46349</v>
      </c>
      <c r="B49" s="5">
        <f>SUMIFS('Bitácora diaria'!$G:$G,'Bitácora diaria'!$A:$A,$A49,'Bitácora diaria'!$F:$F,"Virtualización")</f>
        <v>0</v>
      </c>
      <c r="C49" s="5">
        <f>SUM($B$4:B49)</f>
        <v>150</v>
      </c>
      <c r="D49" s="5" t="str">
        <f>IF(SUMIFS('Bitácora diaria'!$H:$H,'Bitácora diaria'!$A:$A,"&lt;="&amp;$A49,'Bitácora diaria'!$F:$F,"Virtualización")=0,"",SUMIFS('Bitácora diaria'!$H:$H,'Bitácora diaria'!$A:$A,"&lt;="&amp;$A49,'Bitácora diaria'!$F:$F,"Virtualización"))</f>
        <v/>
      </c>
    </row>
    <row r="50" spans="1:4" x14ac:dyDescent="0.3">
      <c r="A50" s="39">
        <v>46350</v>
      </c>
      <c r="B50" s="5">
        <f>SUMIFS('Bitácora diaria'!$G:$G,'Bitácora diaria'!$A:$A,$A50,'Bitácora diaria'!$F:$F,"Virtualización")</f>
        <v>0</v>
      </c>
      <c r="C50" s="5">
        <f>SUM($B$4:B50)</f>
        <v>150</v>
      </c>
      <c r="D50" s="5" t="str">
        <f>IF(SUMIFS('Bitácora diaria'!$H:$H,'Bitácora diaria'!$A:$A,"&lt;="&amp;$A50,'Bitácora diaria'!$F:$F,"Virtualización")=0,"",SUMIFS('Bitácora diaria'!$H:$H,'Bitácora diaria'!$A:$A,"&lt;="&amp;$A50,'Bitácora diaria'!$F:$F,"Virtualización"))</f>
        <v/>
      </c>
    </row>
    <row r="51" spans="1:4" x14ac:dyDescent="0.3">
      <c r="A51" s="39">
        <v>46351</v>
      </c>
      <c r="B51" s="5">
        <f>SUMIFS('Bitácora diaria'!$G:$G,'Bitácora diaria'!$A:$A,$A51,'Bitácora diaria'!$F:$F,"Virtualización")</f>
        <v>0</v>
      </c>
      <c r="C51" s="5">
        <f>SUM($B$4:B51)</f>
        <v>150</v>
      </c>
      <c r="D51" s="5" t="str">
        <f>IF(SUMIFS('Bitácora diaria'!$H:$H,'Bitácora diaria'!$A:$A,"&lt;="&amp;$A51,'Bitácora diaria'!$F:$F,"Virtualización")=0,"",SUMIFS('Bitácora diaria'!$H:$H,'Bitácora diaria'!$A:$A,"&lt;="&amp;$A51,'Bitácora diaria'!$F:$F,"Virtualización"))</f>
        <v/>
      </c>
    </row>
    <row r="52" spans="1:4" x14ac:dyDescent="0.3">
      <c r="A52" s="39">
        <v>46352</v>
      </c>
      <c r="B52" s="5">
        <f>SUMIFS('Bitácora diaria'!$G:$G,'Bitácora diaria'!$A:$A,$A52,'Bitácora diaria'!$F:$F,"Virtualización")</f>
        <v>18</v>
      </c>
      <c r="C52" s="5">
        <f>SUM($B$4:B52)</f>
        <v>168</v>
      </c>
      <c r="D52" s="5" t="str">
        <f>IF(SUMIFS('Bitácora diaria'!$H:$H,'Bitácora diaria'!$A:$A,"&lt;="&amp;$A52,'Bitácora diaria'!$F:$F,"Virtualización")=0,"",SUMIFS('Bitácora diaria'!$H:$H,'Bitácora diaria'!$A:$A,"&lt;="&amp;$A52,'Bitácora diaria'!$F:$F,"Virtualización"))</f>
        <v/>
      </c>
    </row>
    <row r="53" spans="1:4" x14ac:dyDescent="0.3">
      <c r="A53" s="39">
        <v>46353</v>
      </c>
      <c r="B53" s="5">
        <f>SUMIFS('Bitácora diaria'!$G:$G,'Bitácora diaria'!$A:$A,$A53,'Bitácora diaria'!$F:$F,"Virtualización")</f>
        <v>16</v>
      </c>
      <c r="C53" s="5">
        <f>SUM($B$4:B53)</f>
        <v>184</v>
      </c>
      <c r="D53" s="5" t="str">
        <f>IF(SUMIFS('Bitácora diaria'!$H:$H,'Bitácora diaria'!$A:$A,"&lt;="&amp;$A53,'Bitácora diaria'!$F:$F,"Virtualización")=0,"",SUMIFS('Bitácora diaria'!$H:$H,'Bitácora diaria'!$A:$A,"&lt;="&amp;$A53,'Bitácora diaria'!$F:$F,"Virtualización"))</f>
        <v/>
      </c>
    </row>
    <row r="54" spans="1:4" x14ac:dyDescent="0.3">
      <c r="A54" s="39">
        <v>46356</v>
      </c>
      <c r="B54" s="5">
        <f>SUMIFS('Bitácora diaria'!$G:$G,'Bitácora diaria'!$A:$A,$A54,'Bitácora diaria'!$F:$F,"Virtualización")</f>
        <v>16</v>
      </c>
      <c r="C54" s="5">
        <f>SUM($B$4:B54)</f>
        <v>200</v>
      </c>
      <c r="D54" s="5" t="str">
        <f>IF(SUMIFS('Bitácora diaria'!$H:$H,'Bitácora diaria'!$A:$A,"&lt;="&amp;$A54,'Bitácora diaria'!$F:$F,"Virtualización")=0,"",SUMIFS('Bitácora diaria'!$H:$H,'Bitácora diaria'!$A:$A,"&lt;="&amp;$A54,'Bitácora diaria'!$F:$F,"Virtualización"))</f>
        <v/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0E24-BD28-4180-A9FE-3618B3866E11}">
  <dimension ref="A1:H149"/>
  <sheetViews>
    <sheetView tabSelected="1" topLeftCell="E1" zoomScale="94" workbookViewId="0">
      <selection activeCell="F9" sqref="F9"/>
    </sheetView>
  </sheetViews>
  <sheetFormatPr baseColWidth="10" defaultColWidth="65.6640625" defaultRowHeight="24.75" customHeight="1" x14ac:dyDescent="0.3"/>
  <cols>
    <col min="1" max="1" width="84" style="40" customWidth="1"/>
    <col min="2" max="2" width="65.6640625" style="40"/>
    <col min="3" max="3" width="91.109375" style="40" customWidth="1"/>
    <col min="4" max="16384" width="65.6640625" style="40"/>
  </cols>
  <sheetData>
    <row r="1" spans="1:8" ht="24.75" customHeight="1" x14ac:dyDescent="0.3">
      <c r="A1" s="43"/>
      <c r="B1" s="44" t="s">
        <v>24</v>
      </c>
      <c r="C1" s="45" t="s">
        <v>25</v>
      </c>
      <c r="D1" s="46" t="s">
        <v>118</v>
      </c>
      <c r="E1" s="41" t="s">
        <v>119</v>
      </c>
      <c r="F1" s="134" t="s">
        <v>120</v>
      </c>
      <c r="G1" s="142" t="s">
        <v>271</v>
      </c>
      <c r="H1" s="139" t="s">
        <v>121</v>
      </c>
    </row>
    <row r="2" spans="1:8" ht="24.75" customHeight="1" x14ac:dyDescent="0.3">
      <c r="A2" s="47" t="s">
        <v>122</v>
      </c>
      <c r="B2" s="155">
        <f>COUNTA(B4:C38,B40:C82,B84:C94,B96:C141,B143:C149)</f>
        <v>112</v>
      </c>
      <c r="C2" s="155"/>
      <c r="D2" s="48"/>
      <c r="E2" s="42">
        <f>COUNTA(E4:E30,E40:E68,E84:E90)</f>
        <v>47</v>
      </c>
      <c r="F2" s="42">
        <f>COUNTA(F4:F30,F40:F68,F84:F90)-G2</f>
        <v>44</v>
      </c>
      <c r="G2" s="149">
        <f>COUNTA(G4:G30,G40:G68,G84:G90)</f>
        <v>3</v>
      </c>
      <c r="H2" s="140">
        <f>COUNTA(H4:H30,H40:H68,H84:H90)</f>
        <v>0</v>
      </c>
    </row>
    <row r="3" spans="1:8" ht="24.75" customHeight="1" x14ac:dyDescent="0.3">
      <c r="A3" s="158" t="s">
        <v>123</v>
      </c>
      <c r="B3" s="159"/>
      <c r="C3" s="159"/>
      <c r="D3" s="159"/>
      <c r="E3" s="159"/>
      <c r="F3" s="159"/>
      <c r="G3" s="159"/>
      <c r="H3" s="159"/>
    </row>
    <row r="4" spans="1:8" ht="24.75" customHeight="1" x14ac:dyDescent="0.3">
      <c r="A4" s="49" t="s">
        <v>124</v>
      </c>
      <c r="B4" s="49"/>
      <c r="C4" s="50" t="s">
        <v>125</v>
      </c>
      <c r="D4" s="51">
        <v>46213</v>
      </c>
      <c r="E4" s="52" t="s">
        <v>126</v>
      </c>
      <c r="F4" s="135" t="s">
        <v>127</v>
      </c>
      <c r="G4" s="145" t="s">
        <v>126</v>
      </c>
      <c r="H4" s="141"/>
    </row>
    <row r="5" spans="1:8" ht="24.75" customHeight="1" x14ac:dyDescent="0.3">
      <c r="A5" s="54" t="s">
        <v>124</v>
      </c>
      <c r="B5" s="43"/>
      <c r="C5" s="55" t="s">
        <v>128</v>
      </c>
      <c r="D5" s="51">
        <v>46063</v>
      </c>
      <c r="E5" s="52" t="s">
        <v>126</v>
      </c>
      <c r="F5" s="128" t="s">
        <v>129</v>
      </c>
      <c r="G5" s="143"/>
      <c r="H5" s="53"/>
    </row>
    <row r="6" spans="1:8" ht="24.75" customHeight="1" x14ac:dyDescent="0.3">
      <c r="A6" s="49" t="s">
        <v>124</v>
      </c>
      <c r="B6" s="55" t="s">
        <v>130</v>
      </c>
      <c r="C6" s="43"/>
      <c r="D6" s="51">
        <v>46063</v>
      </c>
      <c r="E6" s="52"/>
      <c r="F6" s="128"/>
      <c r="G6" s="143"/>
      <c r="H6" s="57"/>
    </row>
    <row r="7" spans="1:8" ht="24.75" customHeight="1" x14ac:dyDescent="0.3">
      <c r="A7" s="58" t="s">
        <v>124</v>
      </c>
      <c r="B7" s="59" t="s">
        <v>131</v>
      </c>
      <c r="C7" s="43"/>
      <c r="D7" s="51">
        <v>46063</v>
      </c>
      <c r="E7" s="52"/>
      <c r="F7" s="128"/>
      <c r="G7" s="143"/>
      <c r="H7" s="57"/>
    </row>
    <row r="8" spans="1:8" ht="24.75" customHeight="1" x14ac:dyDescent="0.3">
      <c r="A8" s="60" t="s">
        <v>124</v>
      </c>
      <c r="B8" s="61"/>
      <c r="C8" s="59" t="s">
        <v>132</v>
      </c>
      <c r="D8" s="51">
        <v>46063</v>
      </c>
      <c r="E8" s="52" t="s">
        <v>126</v>
      </c>
      <c r="F8" s="128" t="s">
        <v>133</v>
      </c>
      <c r="G8" s="143"/>
      <c r="H8" s="57"/>
    </row>
    <row r="9" spans="1:8" ht="24.75" customHeight="1" x14ac:dyDescent="0.3">
      <c r="A9" s="58" t="s">
        <v>124</v>
      </c>
      <c r="B9" s="59" t="s">
        <v>134</v>
      </c>
      <c r="C9" s="43"/>
      <c r="D9" s="51">
        <v>46063</v>
      </c>
      <c r="E9" s="52" t="s">
        <v>126</v>
      </c>
      <c r="F9" s="128" t="s">
        <v>133</v>
      </c>
      <c r="G9" s="143" t="s">
        <v>126</v>
      </c>
      <c r="H9" s="57"/>
    </row>
    <row r="10" spans="1:8" ht="24.75" customHeight="1" x14ac:dyDescent="0.3">
      <c r="A10" s="62" t="s">
        <v>124</v>
      </c>
      <c r="B10" s="63"/>
      <c r="C10" s="64" t="s">
        <v>135</v>
      </c>
      <c r="D10" s="51">
        <v>46063</v>
      </c>
      <c r="E10" s="52"/>
      <c r="F10" s="128"/>
      <c r="G10" s="143"/>
      <c r="H10" s="57"/>
    </row>
    <row r="11" spans="1:8" ht="24.75" customHeight="1" x14ac:dyDescent="0.3">
      <c r="A11" s="58" t="s">
        <v>136</v>
      </c>
      <c r="B11" s="59" t="s">
        <v>137</v>
      </c>
      <c r="C11" s="43"/>
      <c r="D11" s="65">
        <v>46063</v>
      </c>
      <c r="E11" s="52" t="s">
        <v>126</v>
      </c>
      <c r="F11" s="128" t="s">
        <v>133</v>
      </c>
      <c r="G11" s="143"/>
      <c r="H11" s="57"/>
    </row>
    <row r="12" spans="1:8" ht="24.75" customHeight="1" x14ac:dyDescent="0.3">
      <c r="A12" s="60" t="s">
        <v>136</v>
      </c>
      <c r="B12" s="61"/>
      <c r="C12" s="59" t="s">
        <v>138</v>
      </c>
      <c r="D12" s="51">
        <v>46063</v>
      </c>
      <c r="E12" s="52" t="s">
        <v>126</v>
      </c>
      <c r="F12" s="136" t="s">
        <v>127</v>
      </c>
      <c r="G12" s="143"/>
      <c r="H12" s="57"/>
    </row>
    <row r="13" spans="1:8" ht="24.75" customHeight="1" x14ac:dyDescent="0.3">
      <c r="A13" s="58" t="s">
        <v>136</v>
      </c>
      <c r="B13" s="59" t="s">
        <v>139</v>
      </c>
      <c r="C13" s="43"/>
      <c r="D13" s="51">
        <v>46063</v>
      </c>
      <c r="E13" s="52"/>
      <c r="F13" s="128"/>
      <c r="G13" s="143"/>
      <c r="H13" s="57"/>
    </row>
    <row r="14" spans="1:8" ht="24.75" customHeight="1" x14ac:dyDescent="0.3">
      <c r="A14" s="60" t="s">
        <v>136</v>
      </c>
      <c r="B14" s="61"/>
      <c r="C14" s="59" t="s">
        <v>140</v>
      </c>
      <c r="D14" s="51">
        <v>46063</v>
      </c>
      <c r="E14" s="52"/>
      <c r="F14" s="128"/>
      <c r="G14" s="143"/>
      <c r="H14" s="57"/>
    </row>
    <row r="15" spans="1:8" ht="24.75" customHeight="1" x14ac:dyDescent="0.3">
      <c r="A15" s="54" t="s">
        <v>136</v>
      </c>
      <c r="B15" s="66" t="s">
        <v>141</v>
      </c>
      <c r="C15" s="43"/>
      <c r="D15" s="51">
        <v>46063</v>
      </c>
      <c r="E15" s="52"/>
      <c r="F15" s="128"/>
      <c r="G15" s="143"/>
      <c r="H15" s="57"/>
    </row>
    <row r="16" spans="1:8" ht="24.75" customHeight="1" x14ac:dyDescent="0.3">
      <c r="A16" s="49" t="s">
        <v>136</v>
      </c>
      <c r="B16" s="49"/>
      <c r="C16" s="50" t="s">
        <v>142</v>
      </c>
      <c r="D16" s="51">
        <v>46063</v>
      </c>
      <c r="E16" s="52" t="s">
        <v>143</v>
      </c>
      <c r="F16" s="128" t="s">
        <v>133</v>
      </c>
      <c r="G16" s="143"/>
      <c r="H16" s="57"/>
    </row>
    <row r="17" spans="1:8" ht="24.75" customHeight="1" x14ac:dyDescent="0.3">
      <c r="A17" s="67" t="s">
        <v>136</v>
      </c>
      <c r="B17" s="68" t="s">
        <v>144</v>
      </c>
      <c r="C17" s="69"/>
      <c r="D17" s="51">
        <v>46063</v>
      </c>
      <c r="E17" s="52" t="s">
        <v>126</v>
      </c>
      <c r="F17" s="136" t="s">
        <v>127</v>
      </c>
      <c r="G17" s="143"/>
      <c r="H17" s="57"/>
    </row>
    <row r="18" spans="1:8" ht="24.75" customHeight="1" x14ac:dyDescent="0.3">
      <c r="A18" s="49" t="s">
        <v>145</v>
      </c>
      <c r="B18" s="49"/>
      <c r="C18" s="50" t="s">
        <v>146</v>
      </c>
      <c r="D18" s="65">
        <v>46063</v>
      </c>
      <c r="E18" s="52" t="s">
        <v>126</v>
      </c>
      <c r="F18" s="128" t="s">
        <v>127</v>
      </c>
      <c r="G18" s="143"/>
      <c r="H18" s="57"/>
    </row>
    <row r="19" spans="1:8" ht="24.75" customHeight="1" x14ac:dyDescent="0.3">
      <c r="A19" s="54" t="s">
        <v>145</v>
      </c>
      <c r="B19" s="66" t="s">
        <v>147</v>
      </c>
      <c r="C19" s="43"/>
      <c r="D19" s="51">
        <v>46063</v>
      </c>
      <c r="E19" s="52" t="s">
        <v>126</v>
      </c>
      <c r="F19" s="128" t="s">
        <v>133</v>
      </c>
      <c r="G19" s="143"/>
      <c r="H19" s="57"/>
    </row>
    <row r="20" spans="1:8" ht="24.75" customHeight="1" x14ac:dyDescent="0.3">
      <c r="A20" s="49" t="s">
        <v>145</v>
      </c>
      <c r="B20" s="49"/>
      <c r="C20" s="50" t="s">
        <v>148</v>
      </c>
      <c r="D20" s="51">
        <v>46063</v>
      </c>
      <c r="E20" s="52" t="s">
        <v>126</v>
      </c>
      <c r="F20" s="128" t="s">
        <v>127</v>
      </c>
      <c r="G20" s="143"/>
      <c r="H20" s="57"/>
    </row>
    <row r="21" spans="1:8" ht="24.75" customHeight="1" x14ac:dyDescent="0.3">
      <c r="A21" s="54" t="s">
        <v>145</v>
      </c>
      <c r="B21" s="66" t="s">
        <v>149</v>
      </c>
      <c r="C21" s="43"/>
      <c r="D21" s="51">
        <v>46063</v>
      </c>
      <c r="E21" s="52" t="s">
        <v>126</v>
      </c>
      <c r="F21" s="128" t="s">
        <v>127</v>
      </c>
      <c r="G21" s="143"/>
      <c r="H21" s="57"/>
    </row>
    <row r="22" spans="1:8" ht="24.75" customHeight="1" x14ac:dyDescent="0.3">
      <c r="A22" s="49" t="s">
        <v>145</v>
      </c>
      <c r="B22" s="49"/>
      <c r="C22" s="50" t="s">
        <v>150</v>
      </c>
      <c r="D22" s="51">
        <v>46063</v>
      </c>
      <c r="E22" s="52" t="s">
        <v>126</v>
      </c>
      <c r="F22" s="128" t="s">
        <v>129</v>
      </c>
      <c r="G22" s="143"/>
      <c r="H22" s="57"/>
    </row>
    <row r="23" spans="1:8" ht="24.75" customHeight="1" x14ac:dyDescent="0.3">
      <c r="A23" s="54" t="s">
        <v>145</v>
      </c>
      <c r="B23" s="66" t="s">
        <v>151</v>
      </c>
      <c r="C23" s="43"/>
      <c r="D23" s="51">
        <v>46063</v>
      </c>
      <c r="E23" s="52" t="s">
        <v>126</v>
      </c>
      <c r="F23" s="128" t="s">
        <v>129</v>
      </c>
      <c r="G23" s="143"/>
      <c r="H23" s="57"/>
    </row>
    <row r="24" spans="1:8" ht="24.75" customHeight="1" x14ac:dyDescent="0.3">
      <c r="A24" s="70" t="s">
        <v>145</v>
      </c>
      <c r="B24" s="70"/>
      <c r="C24" s="71" t="s">
        <v>152</v>
      </c>
      <c r="D24" s="51">
        <v>46063</v>
      </c>
      <c r="E24" s="52" t="s">
        <v>126</v>
      </c>
      <c r="F24" s="128" t="s">
        <v>127</v>
      </c>
      <c r="G24" s="143"/>
      <c r="H24" s="57"/>
    </row>
    <row r="25" spans="1:8" ht="24.75" customHeight="1" x14ac:dyDescent="0.3">
      <c r="A25" s="54" t="s">
        <v>153</v>
      </c>
      <c r="B25" s="66" t="s">
        <v>154</v>
      </c>
      <c r="C25" s="43"/>
      <c r="D25" s="65">
        <v>46063</v>
      </c>
      <c r="E25" s="52"/>
      <c r="F25" s="128"/>
      <c r="G25" s="143"/>
      <c r="H25" s="57"/>
    </row>
    <row r="26" spans="1:8" ht="24.75" customHeight="1" x14ac:dyDescent="0.3">
      <c r="A26" s="49" t="s">
        <v>153</v>
      </c>
      <c r="B26" s="49"/>
      <c r="C26" s="50" t="s">
        <v>155</v>
      </c>
      <c r="D26" s="51">
        <v>46063</v>
      </c>
      <c r="E26" s="52" t="s">
        <v>126</v>
      </c>
      <c r="F26" s="128" t="s">
        <v>133</v>
      </c>
      <c r="G26" s="143"/>
      <c r="H26" s="57"/>
    </row>
    <row r="27" spans="1:8" ht="24.75" customHeight="1" x14ac:dyDescent="0.3">
      <c r="A27" s="54" t="s">
        <v>153</v>
      </c>
      <c r="B27" s="66" t="s">
        <v>156</v>
      </c>
      <c r="C27" s="43"/>
      <c r="D27" s="51">
        <v>46063</v>
      </c>
      <c r="E27" s="52" t="s">
        <v>126</v>
      </c>
      <c r="F27" s="128" t="s">
        <v>133</v>
      </c>
      <c r="G27" s="143"/>
      <c r="H27" s="57"/>
    </row>
    <row r="28" spans="1:8" ht="24.75" customHeight="1" x14ac:dyDescent="0.3">
      <c r="A28" s="49" t="s">
        <v>153</v>
      </c>
      <c r="B28" s="49"/>
      <c r="C28" s="50" t="s">
        <v>157</v>
      </c>
      <c r="D28" s="51">
        <v>46213</v>
      </c>
      <c r="E28" s="52"/>
      <c r="F28" s="128"/>
      <c r="G28" s="143"/>
      <c r="H28" s="57"/>
    </row>
    <row r="29" spans="1:8" ht="24.75" customHeight="1" x14ac:dyDescent="0.3">
      <c r="A29" s="54" t="s">
        <v>153</v>
      </c>
      <c r="B29" s="66" t="s">
        <v>158</v>
      </c>
      <c r="C29" s="43"/>
      <c r="D29" s="51">
        <v>46063</v>
      </c>
      <c r="E29" s="52"/>
      <c r="F29" s="128"/>
      <c r="G29" s="143"/>
      <c r="H29" s="57"/>
    </row>
    <row r="30" spans="1:8" ht="24.75" customHeight="1" x14ac:dyDescent="0.3">
      <c r="A30" s="72" t="s">
        <v>153</v>
      </c>
      <c r="B30" s="72"/>
      <c r="C30" s="55" t="s">
        <v>159</v>
      </c>
      <c r="D30" s="51">
        <v>46063</v>
      </c>
      <c r="E30" s="52" t="s">
        <v>126</v>
      </c>
      <c r="F30" s="92" t="s">
        <v>133</v>
      </c>
      <c r="G30" s="143"/>
      <c r="H30" s="73"/>
    </row>
    <row r="31" spans="1:8" ht="24.75" customHeight="1" x14ac:dyDescent="0.3">
      <c r="A31" s="122" t="s">
        <v>160</v>
      </c>
      <c r="B31" s="123"/>
      <c r="C31" s="123"/>
      <c r="D31" s="65"/>
      <c r="E31" s="52"/>
      <c r="F31" s="92"/>
      <c r="G31" s="143"/>
      <c r="H31" s="73"/>
    </row>
    <row r="32" spans="1:8" ht="24.75" customHeight="1" x14ac:dyDescent="0.3">
      <c r="A32" s="125" t="s">
        <v>160</v>
      </c>
      <c r="B32" s="61"/>
      <c r="C32" s="61"/>
      <c r="D32" s="51"/>
      <c r="E32" s="52"/>
      <c r="F32" s="92"/>
      <c r="G32" s="143"/>
      <c r="H32" s="73"/>
    </row>
    <row r="33" spans="1:8" ht="24.75" customHeight="1" x14ac:dyDescent="0.3">
      <c r="A33" s="125" t="s">
        <v>160</v>
      </c>
      <c r="B33" s="61"/>
      <c r="C33" s="61"/>
      <c r="D33" s="51"/>
      <c r="E33" s="52"/>
      <c r="F33" s="92"/>
      <c r="G33" s="143"/>
      <c r="H33" s="73"/>
    </row>
    <row r="34" spans="1:8" ht="24.75" customHeight="1" x14ac:dyDescent="0.3">
      <c r="A34" s="121" t="s">
        <v>160</v>
      </c>
      <c r="B34" s="63"/>
      <c r="C34" s="63"/>
      <c r="D34" s="51"/>
      <c r="E34" s="52"/>
      <c r="F34" s="92"/>
      <c r="G34" s="143"/>
      <c r="H34" s="73"/>
    </row>
    <row r="35" spans="1:8" ht="24.75" customHeight="1" x14ac:dyDescent="0.3">
      <c r="A35" s="125" t="s">
        <v>161</v>
      </c>
      <c r="B35" s="61"/>
      <c r="C35" s="61"/>
      <c r="D35" s="65"/>
      <c r="E35" s="52"/>
      <c r="F35" s="92"/>
      <c r="G35" s="143"/>
      <c r="H35" s="73"/>
    </row>
    <row r="36" spans="1:8" ht="24.75" customHeight="1" x14ac:dyDescent="0.3">
      <c r="A36" s="125" t="s">
        <v>161</v>
      </c>
      <c r="B36" s="61"/>
      <c r="C36" s="61"/>
      <c r="D36" s="51"/>
      <c r="E36" s="52"/>
      <c r="F36" s="92"/>
      <c r="G36" s="143"/>
      <c r="H36" s="73"/>
    </row>
    <row r="37" spans="1:8" ht="24.75" customHeight="1" x14ac:dyDescent="0.3">
      <c r="A37" s="125" t="s">
        <v>161</v>
      </c>
      <c r="B37" s="61"/>
      <c r="C37" s="61"/>
      <c r="D37" s="51"/>
      <c r="E37" s="52"/>
      <c r="F37" s="92"/>
      <c r="G37" s="143"/>
      <c r="H37" s="73"/>
    </row>
    <row r="38" spans="1:8" ht="24.75" customHeight="1" x14ac:dyDescent="0.3">
      <c r="A38" s="125" t="s">
        <v>161</v>
      </c>
      <c r="B38" s="61"/>
      <c r="C38" s="61"/>
      <c r="D38" s="51"/>
      <c r="E38" s="150"/>
      <c r="F38" s="92"/>
      <c r="G38" s="144"/>
      <c r="H38" s="151"/>
    </row>
    <row r="39" spans="1:8" ht="24.75" customHeight="1" x14ac:dyDescent="0.3">
      <c r="A39" s="156" t="s">
        <v>162</v>
      </c>
      <c r="B39" s="156"/>
      <c r="C39" s="156"/>
      <c r="D39" s="156"/>
      <c r="E39" s="156"/>
      <c r="F39" s="156"/>
      <c r="G39" s="156"/>
      <c r="H39" s="156"/>
    </row>
    <row r="40" spans="1:8" ht="24.75" customHeight="1" x14ac:dyDescent="0.3">
      <c r="A40" s="74" t="s">
        <v>163</v>
      </c>
      <c r="B40" s="75" t="s">
        <v>164</v>
      </c>
      <c r="C40" s="76"/>
      <c r="D40" s="51">
        <v>46152</v>
      </c>
      <c r="E40" s="52" t="s">
        <v>126</v>
      </c>
      <c r="F40" s="69" t="s">
        <v>133</v>
      </c>
      <c r="G40" s="145"/>
      <c r="H40" s="53"/>
    </row>
    <row r="41" spans="1:8" ht="24.75" customHeight="1" x14ac:dyDescent="0.3">
      <c r="A41" s="77" t="s">
        <v>163</v>
      </c>
      <c r="B41" s="78"/>
      <c r="C41" s="79" t="s">
        <v>165</v>
      </c>
      <c r="D41" s="51">
        <v>46152</v>
      </c>
      <c r="E41" s="56" t="s">
        <v>126</v>
      </c>
      <c r="F41" s="136" t="s">
        <v>127</v>
      </c>
      <c r="G41" s="143"/>
      <c r="H41" s="57"/>
    </row>
    <row r="42" spans="1:8" ht="24.75" customHeight="1" x14ac:dyDescent="0.3">
      <c r="A42" s="74" t="s">
        <v>163</v>
      </c>
      <c r="B42" s="75" t="s">
        <v>166</v>
      </c>
      <c r="C42" s="76"/>
      <c r="D42" s="51">
        <v>46152</v>
      </c>
      <c r="E42" s="56" t="s">
        <v>126</v>
      </c>
      <c r="F42" s="136" t="s">
        <v>127</v>
      </c>
      <c r="G42" s="143"/>
      <c r="H42" s="57"/>
    </row>
    <row r="43" spans="1:8" ht="24.75" customHeight="1" x14ac:dyDescent="0.3">
      <c r="A43" s="77" t="s">
        <v>163</v>
      </c>
      <c r="B43" s="78"/>
      <c r="C43" s="79" t="s">
        <v>167</v>
      </c>
      <c r="D43" s="51">
        <v>46152</v>
      </c>
      <c r="E43" s="56" t="s">
        <v>126</v>
      </c>
      <c r="F43" s="136" t="s">
        <v>127</v>
      </c>
      <c r="G43" s="143"/>
      <c r="H43" s="57"/>
    </row>
    <row r="44" spans="1:8" ht="24.75" customHeight="1" x14ac:dyDescent="0.3">
      <c r="A44" s="74" t="s">
        <v>163</v>
      </c>
      <c r="B44" s="75" t="s">
        <v>168</v>
      </c>
      <c r="C44" s="76"/>
      <c r="D44" s="51">
        <v>46152</v>
      </c>
      <c r="E44" s="56" t="s">
        <v>126</v>
      </c>
      <c r="F44" s="136" t="s">
        <v>127</v>
      </c>
      <c r="G44" s="143" t="s">
        <v>126</v>
      </c>
      <c r="H44" s="57"/>
    </row>
    <row r="45" spans="1:8" ht="24.75" customHeight="1" x14ac:dyDescent="0.3">
      <c r="A45" s="80" t="s">
        <v>163</v>
      </c>
      <c r="B45" s="81"/>
      <c r="C45" s="59" t="s">
        <v>169</v>
      </c>
      <c r="D45" s="82">
        <v>46152</v>
      </c>
      <c r="E45" s="56" t="s">
        <v>126</v>
      </c>
      <c r="F45" s="136" t="s">
        <v>127</v>
      </c>
      <c r="G45" s="143"/>
      <c r="H45" s="57"/>
    </row>
    <row r="46" spans="1:8" ht="24.75" customHeight="1" x14ac:dyDescent="0.3">
      <c r="A46" s="83" t="s">
        <v>170</v>
      </c>
      <c r="B46" s="84" t="s">
        <v>171</v>
      </c>
      <c r="C46" s="85"/>
      <c r="D46" s="51">
        <v>46152</v>
      </c>
      <c r="E46" s="56" t="s">
        <v>126</v>
      </c>
      <c r="F46" s="136" t="s">
        <v>127</v>
      </c>
      <c r="G46" s="143"/>
      <c r="H46" s="57"/>
    </row>
    <row r="47" spans="1:8" ht="24.75" customHeight="1" x14ac:dyDescent="0.3">
      <c r="A47" s="77" t="s">
        <v>170</v>
      </c>
      <c r="B47" s="78"/>
      <c r="C47" s="79" t="s">
        <v>172</v>
      </c>
      <c r="D47" s="51">
        <v>46152</v>
      </c>
      <c r="E47" s="56"/>
      <c r="F47" s="128"/>
      <c r="G47" s="143"/>
      <c r="H47" s="57"/>
    </row>
    <row r="48" spans="1:8" ht="24.75" customHeight="1" x14ac:dyDescent="0.3">
      <c r="A48" s="74" t="s">
        <v>170</v>
      </c>
      <c r="B48" s="75" t="s">
        <v>173</v>
      </c>
      <c r="C48" s="76"/>
      <c r="D48" s="51">
        <v>46152</v>
      </c>
      <c r="E48" s="56" t="s">
        <v>126</v>
      </c>
      <c r="F48" s="128" t="s">
        <v>133</v>
      </c>
      <c r="G48" s="143"/>
      <c r="H48" s="57"/>
    </row>
    <row r="49" spans="1:8" ht="24.75" customHeight="1" x14ac:dyDescent="0.3">
      <c r="A49" s="77" t="s">
        <v>170</v>
      </c>
      <c r="B49" s="78"/>
      <c r="C49" s="79" t="s">
        <v>174</v>
      </c>
      <c r="D49" s="51">
        <v>46152</v>
      </c>
      <c r="E49" s="56"/>
      <c r="F49" s="128"/>
      <c r="G49" s="143"/>
      <c r="H49" s="57"/>
    </row>
    <row r="50" spans="1:8" ht="24.75" customHeight="1" x14ac:dyDescent="0.3">
      <c r="A50" s="74" t="s">
        <v>170</v>
      </c>
      <c r="B50" s="75" t="s">
        <v>175</v>
      </c>
      <c r="C50" s="76"/>
      <c r="D50" s="51">
        <v>46152</v>
      </c>
      <c r="E50" s="56" t="s">
        <v>126</v>
      </c>
      <c r="F50" s="136" t="s">
        <v>127</v>
      </c>
      <c r="G50" s="143"/>
      <c r="H50" s="57"/>
    </row>
    <row r="51" spans="1:8" ht="24.75" customHeight="1" x14ac:dyDescent="0.3">
      <c r="A51" s="77" t="s">
        <v>170</v>
      </c>
      <c r="B51" s="78"/>
      <c r="C51" s="79" t="s">
        <v>176</v>
      </c>
      <c r="D51" s="51">
        <v>46152</v>
      </c>
      <c r="E51" s="56"/>
      <c r="F51" s="128"/>
      <c r="G51" s="143"/>
      <c r="H51" s="57"/>
    </row>
    <row r="52" spans="1:8" ht="24.75" customHeight="1" x14ac:dyDescent="0.3">
      <c r="A52" s="86" t="s">
        <v>170</v>
      </c>
      <c r="B52" s="87" t="s">
        <v>177</v>
      </c>
      <c r="C52" s="61"/>
      <c r="D52" s="51">
        <v>46152</v>
      </c>
      <c r="E52" s="56" t="s">
        <v>126</v>
      </c>
      <c r="F52" s="136" t="s">
        <v>127</v>
      </c>
      <c r="G52" s="143"/>
      <c r="H52" s="57"/>
    </row>
    <row r="53" spans="1:8" ht="24.75" customHeight="1" x14ac:dyDescent="0.3">
      <c r="A53" s="88" t="s">
        <v>178</v>
      </c>
      <c r="B53" s="89"/>
      <c r="C53" s="90" t="s">
        <v>179</v>
      </c>
      <c r="D53" s="65">
        <v>46213</v>
      </c>
      <c r="E53" s="56" t="s">
        <v>126</v>
      </c>
      <c r="F53" s="128" t="s">
        <v>127</v>
      </c>
      <c r="G53" s="143"/>
      <c r="H53" s="57"/>
    </row>
    <row r="54" spans="1:8" ht="24.75" customHeight="1" x14ac:dyDescent="0.3">
      <c r="A54" s="74" t="s">
        <v>178</v>
      </c>
      <c r="B54" s="75" t="s">
        <v>180</v>
      </c>
      <c r="C54" s="76"/>
      <c r="D54" s="51">
        <v>46183</v>
      </c>
      <c r="E54" s="56" t="s">
        <v>126</v>
      </c>
      <c r="F54" s="128" t="s">
        <v>127</v>
      </c>
      <c r="G54" s="143"/>
      <c r="H54" s="57"/>
    </row>
    <row r="55" spans="1:8" ht="24.75" customHeight="1" x14ac:dyDescent="0.3">
      <c r="A55" s="77" t="s">
        <v>178</v>
      </c>
      <c r="B55" s="78"/>
      <c r="C55" s="79" t="s">
        <v>181</v>
      </c>
      <c r="D55" s="51">
        <v>46213</v>
      </c>
      <c r="E55" s="56" t="s">
        <v>126</v>
      </c>
      <c r="F55" s="128" t="s">
        <v>127</v>
      </c>
      <c r="G55" s="143"/>
      <c r="H55" s="57"/>
    </row>
    <row r="56" spans="1:8" ht="24.75" customHeight="1" x14ac:dyDescent="0.3">
      <c r="A56" s="74" t="s">
        <v>178</v>
      </c>
      <c r="B56" s="75" t="s">
        <v>182</v>
      </c>
      <c r="C56" s="76"/>
      <c r="D56" s="51">
        <v>46183</v>
      </c>
      <c r="E56" s="56" t="s">
        <v>126</v>
      </c>
      <c r="F56" s="128" t="s">
        <v>127</v>
      </c>
      <c r="G56" s="143"/>
      <c r="H56" s="57"/>
    </row>
    <row r="57" spans="1:8" ht="24.75" customHeight="1" x14ac:dyDescent="0.3">
      <c r="A57" s="80" t="s">
        <v>178</v>
      </c>
      <c r="B57" s="81"/>
      <c r="C57" s="59" t="s">
        <v>183</v>
      </c>
      <c r="D57" s="51">
        <v>46213</v>
      </c>
      <c r="E57" s="56" t="s">
        <v>126</v>
      </c>
      <c r="F57" s="128" t="s">
        <v>127</v>
      </c>
      <c r="G57" s="143"/>
      <c r="H57" s="57"/>
    </row>
    <row r="58" spans="1:8" ht="24.75" customHeight="1" x14ac:dyDescent="0.3">
      <c r="A58" s="83" t="s">
        <v>184</v>
      </c>
      <c r="B58" s="84" t="s">
        <v>185</v>
      </c>
      <c r="C58" s="85"/>
      <c r="D58" s="51">
        <v>46213</v>
      </c>
      <c r="E58" s="56" t="s">
        <v>126</v>
      </c>
      <c r="F58" s="136" t="s">
        <v>127</v>
      </c>
      <c r="G58" s="143"/>
      <c r="H58" s="57"/>
    </row>
    <row r="59" spans="1:8" ht="24.75" customHeight="1" x14ac:dyDescent="0.3">
      <c r="A59" s="77" t="s">
        <v>184</v>
      </c>
      <c r="B59" s="78"/>
      <c r="C59" s="79" t="s">
        <v>186</v>
      </c>
      <c r="D59" s="51">
        <v>46213</v>
      </c>
      <c r="E59" s="56" t="s">
        <v>126</v>
      </c>
      <c r="F59" s="136" t="s">
        <v>127</v>
      </c>
      <c r="G59" s="143"/>
      <c r="H59" s="57"/>
    </row>
    <row r="60" spans="1:8" ht="24.75" customHeight="1" x14ac:dyDescent="0.3">
      <c r="A60" s="74" t="s">
        <v>184</v>
      </c>
      <c r="B60" s="75" t="s">
        <v>187</v>
      </c>
      <c r="C60" s="76"/>
      <c r="D60" s="51">
        <v>46213</v>
      </c>
      <c r="E60" s="56" t="s">
        <v>126</v>
      </c>
      <c r="F60" s="136" t="s">
        <v>127</v>
      </c>
      <c r="G60" s="143"/>
      <c r="H60" s="57"/>
    </row>
    <row r="61" spans="1:8" ht="24.75" customHeight="1" x14ac:dyDescent="0.3">
      <c r="A61" s="80" t="s">
        <v>184</v>
      </c>
      <c r="B61" s="81"/>
      <c r="C61" s="59" t="s">
        <v>188</v>
      </c>
      <c r="D61" s="51">
        <v>46213</v>
      </c>
      <c r="E61" s="56" t="s">
        <v>126</v>
      </c>
      <c r="F61" s="136" t="s">
        <v>127</v>
      </c>
      <c r="G61" s="143"/>
      <c r="H61" s="57"/>
    </row>
    <row r="62" spans="1:8" ht="24.75" customHeight="1" x14ac:dyDescent="0.3">
      <c r="A62" s="83" t="s">
        <v>189</v>
      </c>
      <c r="B62" s="84" t="s">
        <v>190</v>
      </c>
      <c r="C62" s="85"/>
      <c r="D62" s="65">
        <v>46152</v>
      </c>
      <c r="E62" s="56" t="s">
        <v>126</v>
      </c>
      <c r="F62" s="128" t="s">
        <v>127</v>
      </c>
      <c r="G62" s="143"/>
      <c r="H62" s="57"/>
    </row>
    <row r="63" spans="1:8" ht="24.75" customHeight="1" x14ac:dyDescent="0.3">
      <c r="A63" s="77" t="s">
        <v>189</v>
      </c>
      <c r="B63" s="78"/>
      <c r="C63" s="79" t="s">
        <v>191</v>
      </c>
      <c r="D63" s="51">
        <v>46152</v>
      </c>
      <c r="E63" s="56" t="s">
        <v>126</v>
      </c>
      <c r="F63" s="128" t="s">
        <v>127</v>
      </c>
      <c r="G63" s="143"/>
      <c r="H63" s="57"/>
    </row>
    <row r="64" spans="1:8" ht="24.75" customHeight="1" x14ac:dyDescent="0.3">
      <c r="A64" s="86" t="s">
        <v>189</v>
      </c>
      <c r="B64" s="87" t="s">
        <v>192</v>
      </c>
      <c r="C64" s="61"/>
      <c r="D64" s="51">
        <v>46152</v>
      </c>
      <c r="E64" s="56" t="s">
        <v>126</v>
      </c>
      <c r="F64" s="128" t="s">
        <v>127</v>
      </c>
      <c r="G64" s="143"/>
      <c r="H64" s="57"/>
    </row>
    <row r="65" spans="1:8" ht="24.75" customHeight="1" x14ac:dyDescent="0.3">
      <c r="A65" s="88" t="s">
        <v>193</v>
      </c>
      <c r="B65" s="89"/>
      <c r="C65" s="90" t="s">
        <v>194</v>
      </c>
      <c r="D65" s="65">
        <v>46213</v>
      </c>
      <c r="E65" s="56" t="s">
        <v>126</v>
      </c>
      <c r="F65" s="128" t="s">
        <v>127</v>
      </c>
      <c r="G65" s="143"/>
      <c r="H65" s="57"/>
    </row>
    <row r="66" spans="1:8" ht="24.75" customHeight="1" x14ac:dyDescent="0.3">
      <c r="A66" s="74" t="s">
        <v>193</v>
      </c>
      <c r="B66" s="75" t="s">
        <v>195</v>
      </c>
      <c r="C66" s="76"/>
      <c r="D66" s="51">
        <v>46152</v>
      </c>
      <c r="E66" s="56" t="s">
        <v>126</v>
      </c>
      <c r="F66" s="128" t="s">
        <v>127</v>
      </c>
      <c r="G66" s="143"/>
      <c r="H66" s="57"/>
    </row>
    <row r="67" spans="1:8" ht="24.75" customHeight="1" x14ac:dyDescent="0.3">
      <c r="A67" s="77" t="s">
        <v>193</v>
      </c>
      <c r="B67" s="78"/>
      <c r="C67" s="79" t="s">
        <v>196</v>
      </c>
      <c r="D67" s="51">
        <v>46152</v>
      </c>
      <c r="E67" s="56"/>
      <c r="F67" s="128"/>
      <c r="G67" s="143"/>
      <c r="H67" s="57"/>
    </row>
    <row r="68" spans="1:8" ht="24.75" customHeight="1" x14ac:dyDescent="0.3">
      <c r="A68" s="86" t="s">
        <v>193</v>
      </c>
      <c r="B68" s="87" t="s">
        <v>197</v>
      </c>
      <c r="C68" s="61"/>
      <c r="D68" s="51">
        <v>46152</v>
      </c>
      <c r="E68" s="56"/>
      <c r="F68" s="128"/>
      <c r="G68" s="143"/>
      <c r="H68" s="57"/>
    </row>
    <row r="69" spans="1:8" ht="24.75" customHeight="1" x14ac:dyDescent="0.3">
      <c r="A69" s="122" t="s">
        <v>198</v>
      </c>
      <c r="B69" s="123"/>
      <c r="C69" s="123"/>
      <c r="D69" s="65"/>
      <c r="E69" s="127"/>
      <c r="F69" s="128"/>
      <c r="G69" s="143"/>
      <c r="H69" s="57"/>
    </row>
    <row r="70" spans="1:8" ht="24.75" customHeight="1" x14ac:dyDescent="0.3">
      <c r="A70" s="125" t="s">
        <v>198</v>
      </c>
      <c r="B70" s="61"/>
      <c r="C70" s="61"/>
      <c r="D70" s="51"/>
      <c r="E70" s="127"/>
      <c r="F70" s="128"/>
      <c r="G70" s="143"/>
      <c r="H70" s="57"/>
    </row>
    <row r="71" spans="1:8" ht="24.75" customHeight="1" x14ac:dyDescent="0.3">
      <c r="A71" s="125" t="s">
        <v>198</v>
      </c>
      <c r="B71" s="61"/>
      <c r="C71" s="61"/>
      <c r="D71" s="51"/>
      <c r="E71" s="127"/>
      <c r="F71" s="128"/>
      <c r="G71" s="143"/>
      <c r="H71" s="57"/>
    </row>
    <row r="72" spans="1:8" ht="24.75" customHeight="1" x14ac:dyDescent="0.3">
      <c r="A72" s="125" t="s">
        <v>198</v>
      </c>
      <c r="B72" s="61"/>
      <c r="C72" s="61"/>
      <c r="D72" s="51"/>
      <c r="E72" s="127"/>
      <c r="F72" s="128"/>
      <c r="G72" s="143"/>
      <c r="H72" s="57"/>
    </row>
    <row r="73" spans="1:8" ht="24.75" customHeight="1" x14ac:dyDescent="0.3">
      <c r="A73" s="125" t="s">
        <v>198</v>
      </c>
      <c r="B73" s="61"/>
      <c r="C73" s="61"/>
      <c r="D73" s="51"/>
      <c r="E73" s="127"/>
      <c r="F73" s="128"/>
      <c r="G73" s="143"/>
      <c r="H73" s="57"/>
    </row>
    <row r="74" spans="1:8" ht="24.75" customHeight="1" x14ac:dyDescent="0.3">
      <c r="A74" s="122" t="s">
        <v>199</v>
      </c>
      <c r="B74" s="123"/>
      <c r="C74" s="123"/>
      <c r="D74" s="65"/>
      <c r="E74" s="127"/>
      <c r="F74" s="128"/>
      <c r="G74" s="143"/>
      <c r="H74" s="57"/>
    </row>
    <row r="75" spans="1:8" ht="24.75" customHeight="1" x14ac:dyDescent="0.3">
      <c r="A75" s="125" t="s">
        <v>199</v>
      </c>
      <c r="B75" s="61"/>
      <c r="C75" s="61"/>
      <c r="D75" s="51"/>
      <c r="E75" s="127"/>
      <c r="F75" s="128"/>
      <c r="G75" s="143"/>
      <c r="H75" s="57"/>
    </row>
    <row r="76" spans="1:8" ht="24.75" customHeight="1" x14ac:dyDescent="0.3">
      <c r="A76" s="125" t="s">
        <v>199</v>
      </c>
      <c r="B76" s="61"/>
      <c r="C76" s="61"/>
      <c r="D76" s="51"/>
      <c r="E76" s="127"/>
      <c r="F76" s="128"/>
      <c r="G76" s="143"/>
      <c r="H76" s="57"/>
    </row>
    <row r="77" spans="1:8" ht="24.75" customHeight="1" x14ac:dyDescent="0.3">
      <c r="A77" s="125" t="s">
        <v>199</v>
      </c>
      <c r="B77" s="61"/>
      <c r="C77" s="61"/>
      <c r="D77" s="51"/>
      <c r="E77" s="127"/>
      <c r="F77" s="128"/>
      <c r="G77" s="143"/>
      <c r="H77" s="57"/>
    </row>
    <row r="78" spans="1:8" ht="24.75" customHeight="1" x14ac:dyDescent="0.3">
      <c r="A78" s="122" t="s">
        <v>200</v>
      </c>
      <c r="B78" s="123"/>
      <c r="C78" s="123"/>
      <c r="D78" s="65"/>
      <c r="E78" s="127"/>
      <c r="F78" s="128"/>
      <c r="G78" s="143"/>
      <c r="H78" s="57"/>
    </row>
    <row r="79" spans="1:8" ht="24.75" customHeight="1" x14ac:dyDescent="0.3">
      <c r="A79" s="125" t="s">
        <v>200</v>
      </c>
      <c r="B79" s="61"/>
      <c r="C79" s="61"/>
      <c r="D79" s="51"/>
      <c r="E79" s="127"/>
      <c r="F79" s="128"/>
      <c r="G79" s="143"/>
      <c r="H79" s="57"/>
    </row>
    <row r="80" spans="1:8" ht="24.75" customHeight="1" x14ac:dyDescent="0.3">
      <c r="A80" s="125" t="s">
        <v>200</v>
      </c>
      <c r="B80" s="61"/>
      <c r="C80" s="61"/>
      <c r="D80" s="51"/>
      <c r="E80" s="127"/>
      <c r="F80" s="128"/>
      <c r="G80" s="143"/>
      <c r="H80" s="57"/>
    </row>
    <row r="81" spans="1:8" ht="24.75" customHeight="1" x14ac:dyDescent="0.3">
      <c r="A81" s="125" t="s">
        <v>200</v>
      </c>
      <c r="B81" s="61"/>
      <c r="C81" s="61"/>
      <c r="D81" s="51"/>
      <c r="E81" s="127"/>
      <c r="F81" s="128"/>
      <c r="G81" s="143"/>
      <c r="H81" s="57"/>
    </row>
    <row r="82" spans="1:8" ht="24.75" customHeight="1" x14ac:dyDescent="0.3">
      <c r="A82" s="125" t="s">
        <v>200</v>
      </c>
      <c r="B82" s="61"/>
      <c r="C82" s="61"/>
      <c r="D82" s="51"/>
      <c r="E82" s="152"/>
      <c r="F82" s="92"/>
      <c r="G82" s="144"/>
      <c r="H82" s="73"/>
    </row>
    <row r="83" spans="1:8" ht="24.75" customHeight="1" x14ac:dyDescent="0.3">
      <c r="A83" s="157" t="s">
        <v>201</v>
      </c>
      <c r="B83" s="157"/>
      <c r="C83" s="157"/>
      <c r="D83" s="157"/>
      <c r="E83" s="157"/>
      <c r="F83" s="157"/>
      <c r="G83" s="157"/>
      <c r="H83" s="157"/>
    </row>
    <row r="84" spans="1:8" ht="24.75" customHeight="1" x14ac:dyDescent="0.3">
      <c r="A84" s="77" t="s">
        <v>202</v>
      </c>
      <c r="B84" s="78"/>
      <c r="C84" s="79" t="s">
        <v>203</v>
      </c>
      <c r="D84" s="51">
        <v>46213</v>
      </c>
      <c r="E84" s="52"/>
      <c r="F84" s="69"/>
      <c r="G84" s="145"/>
      <c r="H84" s="53"/>
    </row>
    <row r="85" spans="1:8" ht="24.75" customHeight="1" x14ac:dyDescent="0.3">
      <c r="A85" s="74" t="s">
        <v>202</v>
      </c>
      <c r="B85" s="75" t="s">
        <v>204</v>
      </c>
      <c r="C85" s="43"/>
      <c r="D85" s="51">
        <v>46213</v>
      </c>
      <c r="E85" s="56" t="s">
        <v>126</v>
      </c>
      <c r="F85" s="128" t="s">
        <v>127</v>
      </c>
      <c r="G85" s="143"/>
      <c r="H85" s="57"/>
    </row>
    <row r="86" spans="1:8" ht="24.75" customHeight="1" x14ac:dyDescent="0.3">
      <c r="A86" s="77" t="s">
        <v>202</v>
      </c>
      <c r="B86" s="78"/>
      <c r="C86" s="79" t="s">
        <v>205</v>
      </c>
      <c r="D86" s="51">
        <v>46213</v>
      </c>
      <c r="E86" s="56" t="s">
        <v>126</v>
      </c>
      <c r="F86" s="128" t="s">
        <v>127</v>
      </c>
      <c r="G86" s="143"/>
      <c r="H86" s="57"/>
    </row>
    <row r="87" spans="1:8" ht="24.75" customHeight="1" x14ac:dyDescent="0.3">
      <c r="A87" s="74" t="s">
        <v>202</v>
      </c>
      <c r="B87" s="75" t="s">
        <v>206</v>
      </c>
      <c r="C87" s="43"/>
      <c r="D87" s="51">
        <v>46213</v>
      </c>
      <c r="E87" s="56"/>
      <c r="F87" s="128"/>
      <c r="G87" s="143"/>
      <c r="H87" s="57"/>
    </row>
    <row r="88" spans="1:8" ht="24.75" customHeight="1" x14ac:dyDescent="0.3">
      <c r="A88" s="80" t="s">
        <v>202</v>
      </c>
      <c r="B88" s="81"/>
      <c r="C88" s="59" t="s">
        <v>207</v>
      </c>
      <c r="D88" s="51">
        <v>46213</v>
      </c>
      <c r="E88" s="91" t="s">
        <v>126</v>
      </c>
      <c r="F88" s="92" t="s">
        <v>127</v>
      </c>
      <c r="G88" s="143"/>
      <c r="H88" s="73"/>
    </row>
    <row r="89" spans="1:8" ht="24.75" customHeight="1" x14ac:dyDescent="0.3">
      <c r="A89" s="83" t="s">
        <v>202</v>
      </c>
      <c r="B89" s="84" t="s">
        <v>208</v>
      </c>
      <c r="C89" s="92"/>
      <c r="D89" s="65">
        <v>46213</v>
      </c>
      <c r="E89" s="56" t="s">
        <v>126</v>
      </c>
      <c r="F89" s="128" t="s">
        <v>127</v>
      </c>
      <c r="G89" s="143"/>
      <c r="H89" s="57"/>
    </row>
    <row r="90" spans="1:8" ht="24.75" customHeight="1" x14ac:dyDescent="0.3">
      <c r="A90" s="80" t="s">
        <v>202</v>
      </c>
      <c r="B90" s="81"/>
      <c r="C90" s="59" t="s">
        <v>209</v>
      </c>
      <c r="D90" s="51">
        <v>46213</v>
      </c>
      <c r="E90" s="91" t="s">
        <v>126</v>
      </c>
      <c r="F90" s="92" t="s">
        <v>127</v>
      </c>
      <c r="G90" s="143"/>
      <c r="H90" s="73"/>
    </row>
    <row r="91" spans="1:8" ht="24.75" customHeight="1" x14ac:dyDescent="0.3">
      <c r="A91" s="122" t="s">
        <v>210</v>
      </c>
      <c r="B91" s="123"/>
      <c r="C91" s="124"/>
      <c r="D91" s="120"/>
      <c r="E91" s="91"/>
      <c r="F91" s="92"/>
      <c r="G91" s="143"/>
      <c r="H91" s="73"/>
    </row>
    <row r="92" spans="1:8" ht="24.75" customHeight="1" x14ac:dyDescent="0.3">
      <c r="A92" s="125" t="s">
        <v>210</v>
      </c>
      <c r="B92" s="61"/>
      <c r="C92" s="126"/>
      <c r="D92" s="119"/>
      <c r="E92" s="91"/>
      <c r="F92" s="92"/>
      <c r="G92" s="143"/>
      <c r="H92" s="73"/>
    </row>
    <row r="93" spans="1:8" ht="24.75" customHeight="1" x14ac:dyDescent="0.3">
      <c r="A93" s="125" t="s">
        <v>210</v>
      </c>
      <c r="B93" s="61"/>
      <c r="C93" s="126"/>
      <c r="D93" s="119"/>
      <c r="E93" s="91"/>
      <c r="F93" s="92"/>
      <c r="G93" s="143"/>
      <c r="H93" s="73"/>
    </row>
    <row r="94" spans="1:8" ht="24.75" customHeight="1" x14ac:dyDescent="0.3">
      <c r="A94" s="125" t="s">
        <v>210</v>
      </c>
      <c r="B94" s="61"/>
      <c r="C94" s="126"/>
      <c r="D94" s="119"/>
      <c r="E94" s="91"/>
      <c r="F94" s="92"/>
      <c r="G94" s="144"/>
      <c r="H94" s="73"/>
    </row>
    <row r="95" spans="1:8" ht="24.75" customHeight="1" x14ac:dyDescent="0.3">
      <c r="A95" s="157" t="s">
        <v>211</v>
      </c>
      <c r="B95" s="157"/>
      <c r="C95" s="157"/>
      <c r="D95" s="157"/>
      <c r="E95" s="157"/>
      <c r="F95" s="157"/>
      <c r="G95" s="157"/>
      <c r="H95" s="157"/>
    </row>
    <row r="96" spans="1:8" ht="24.75" customHeight="1" x14ac:dyDescent="0.3">
      <c r="A96" s="74" t="s">
        <v>212</v>
      </c>
      <c r="B96" s="102" t="s">
        <v>213</v>
      </c>
      <c r="C96" s="105"/>
      <c r="D96" s="99">
        <v>46275</v>
      </c>
      <c r="E96" s="110"/>
      <c r="F96" s="137"/>
      <c r="G96" s="145"/>
      <c r="H96" s="103"/>
    </row>
    <row r="97" spans="1:8" ht="24.75" customHeight="1" x14ac:dyDescent="0.3">
      <c r="A97" s="77" t="s">
        <v>212</v>
      </c>
      <c r="B97" s="76"/>
      <c r="C97" s="107" t="s">
        <v>214</v>
      </c>
      <c r="D97" s="99">
        <v>46275</v>
      </c>
      <c r="E97" s="100"/>
      <c r="F97" s="138"/>
      <c r="G97" s="143"/>
      <c r="H97" s="101"/>
    </row>
    <row r="98" spans="1:8" ht="24.75" customHeight="1" x14ac:dyDescent="0.3">
      <c r="A98" s="74" t="s">
        <v>212</v>
      </c>
      <c r="B98" s="79" t="s">
        <v>215</v>
      </c>
      <c r="C98" s="105"/>
      <c r="D98" s="99">
        <v>46275</v>
      </c>
      <c r="E98" s="100"/>
      <c r="F98" s="138"/>
      <c r="G98" s="143"/>
      <c r="H98" s="101"/>
    </row>
    <row r="99" spans="1:8" ht="24.75" customHeight="1" x14ac:dyDescent="0.3">
      <c r="A99" s="77" t="s">
        <v>212</v>
      </c>
      <c r="B99" s="76"/>
      <c r="C99" s="107" t="s">
        <v>216</v>
      </c>
      <c r="D99" s="99">
        <v>46275</v>
      </c>
      <c r="E99" s="100"/>
      <c r="F99" s="138"/>
      <c r="G99" s="143"/>
      <c r="H99" s="101"/>
    </row>
    <row r="100" spans="1:8" ht="24.75" customHeight="1" x14ac:dyDescent="0.3">
      <c r="A100" s="74" t="s">
        <v>212</v>
      </c>
      <c r="B100" s="79" t="s">
        <v>217</v>
      </c>
      <c r="C100" s="105"/>
      <c r="D100" s="99">
        <v>46275</v>
      </c>
      <c r="E100" s="100"/>
      <c r="F100" s="138"/>
      <c r="G100" s="143"/>
      <c r="H100" s="101"/>
    </row>
    <row r="101" spans="1:8" ht="24.75" customHeight="1" x14ac:dyDescent="0.3">
      <c r="A101" s="77" t="s">
        <v>212</v>
      </c>
      <c r="B101" s="76"/>
      <c r="C101" s="107" t="s">
        <v>218</v>
      </c>
      <c r="D101" s="99">
        <v>46275</v>
      </c>
      <c r="E101" s="100"/>
      <c r="F101" s="138"/>
      <c r="G101" s="143"/>
      <c r="H101" s="101"/>
    </row>
    <row r="102" spans="1:8" ht="24.75" customHeight="1" x14ac:dyDescent="0.3">
      <c r="A102" s="86" t="s">
        <v>212</v>
      </c>
      <c r="B102" s="59" t="s">
        <v>219</v>
      </c>
      <c r="C102" s="105"/>
      <c r="D102" s="99">
        <v>46275</v>
      </c>
      <c r="E102" s="100"/>
      <c r="F102" s="138"/>
      <c r="G102" s="143"/>
      <c r="H102" s="101"/>
    </row>
    <row r="103" spans="1:8" ht="24.75" customHeight="1" x14ac:dyDescent="0.3">
      <c r="A103" s="88" t="s">
        <v>220</v>
      </c>
      <c r="B103" s="85"/>
      <c r="C103" s="131" t="s">
        <v>221</v>
      </c>
      <c r="D103" s="99">
        <v>46275</v>
      </c>
      <c r="E103" s="100"/>
      <c r="F103" s="138"/>
      <c r="G103" s="143"/>
      <c r="H103" s="101"/>
    </row>
    <row r="104" spans="1:8" ht="24.75" customHeight="1" x14ac:dyDescent="0.3">
      <c r="A104" s="74" t="s">
        <v>220</v>
      </c>
      <c r="B104" s="79" t="s">
        <v>222</v>
      </c>
      <c r="C104" s="105"/>
      <c r="D104" s="99">
        <v>46275</v>
      </c>
      <c r="E104" s="100"/>
      <c r="F104" s="138"/>
      <c r="G104" s="143"/>
      <c r="H104" s="101"/>
    </row>
    <row r="105" spans="1:8" ht="24.75" customHeight="1" x14ac:dyDescent="0.3">
      <c r="A105" s="77" t="s">
        <v>220</v>
      </c>
      <c r="B105" s="76"/>
      <c r="C105" s="107" t="s">
        <v>223</v>
      </c>
      <c r="D105" s="99">
        <v>46275</v>
      </c>
      <c r="E105" s="100"/>
      <c r="F105" s="138"/>
      <c r="G105" s="143"/>
      <c r="H105" s="101"/>
    </row>
    <row r="106" spans="1:8" ht="24.75" customHeight="1" x14ac:dyDescent="0.3">
      <c r="A106" s="74" t="s">
        <v>220</v>
      </c>
      <c r="B106" s="79" t="s">
        <v>224</v>
      </c>
      <c r="C106" s="105"/>
      <c r="D106" s="99">
        <v>46275</v>
      </c>
      <c r="E106" s="100"/>
      <c r="F106" s="138"/>
      <c r="G106" s="143"/>
      <c r="H106" s="101"/>
    </row>
    <row r="107" spans="1:8" ht="24.75" customHeight="1" x14ac:dyDescent="0.3">
      <c r="A107" s="77" t="s">
        <v>220</v>
      </c>
      <c r="B107" s="76"/>
      <c r="C107" s="107" t="s">
        <v>225</v>
      </c>
      <c r="D107" s="99">
        <v>46275</v>
      </c>
      <c r="E107" s="100"/>
      <c r="F107" s="138"/>
      <c r="G107" s="143"/>
      <c r="H107" s="101"/>
    </row>
    <row r="108" spans="1:8" ht="24.75" customHeight="1" x14ac:dyDescent="0.3">
      <c r="A108" s="74" t="s">
        <v>220</v>
      </c>
      <c r="B108" s="79" t="s">
        <v>226</v>
      </c>
      <c r="C108" s="105"/>
      <c r="D108" s="99">
        <v>46275</v>
      </c>
      <c r="E108" s="100"/>
      <c r="F108" s="138"/>
      <c r="G108" s="143"/>
      <c r="H108" s="101"/>
    </row>
    <row r="109" spans="1:8" ht="24.75" customHeight="1" x14ac:dyDescent="0.3">
      <c r="A109" s="98" t="s">
        <v>220</v>
      </c>
      <c r="B109" s="63"/>
      <c r="C109" s="132" t="s">
        <v>227</v>
      </c>
      <c r="D109" s="99">
        <v>46275</v>
      </c>
      <c r="E109" s="100"/>
      <c r="F109" s="138"/>
      <c r="G109" s="143"/>
      <c r="H109" s="101"/>
    </row>
    <row r="110" spans="1:8" ht="24.75" customHeight="1" x14ac:dyDescent="0.3">
      <c r="A110" s="74" t="s">
        <v>228</v>
      </c>
      <c r="C110" s="107" t="s">
        <v>229</v>
      </c>
      <c r="D110" s="99">
        <v>46275</v>
      </c>
      <c r="E110" s="100"/>
      <c r="F110" s="138"/>
      <c r="G110" s="143"/>
      <c r="H110" s="101"/>
    </row>
    <row r="111" spans="1:8" ht="24.75" customHeight="1" x14ac:dyDescent="0.3">
      <c r="A111" s="77" t="s">
        <v>228</v>
      </c>
      <c r="B111" s="104" t="s">
        <v>230</v>
      </c>
      <c r="C111" s="105"/>
      <c r="D111" s="99">
        <v>46275</v>
      </c>
      <c r="E111" s="100"/>
      <c r="F111" s="138"/>
      <c r="G111" s="143"/>
      <c r="H111" s="101"/>
    </row>
    <row r="112" spans="1:8" ht="24.75" customHeight="1" x14ac:dyDescent="0.3">
      <c r="A112" s="74" t="s">
        <v>228</v>
      </c>
      <c r="B112" s="102" t="s">
        <v>231</v>
      </c>
      <c r="C112" s="105"/>
      <c r="D112" s="99">
        <v>46275</v>
      </c>
      <c r="E112" s="100"/>
      <c r="F112" s="138"/>
      <c r="G112" s="143"/>
      <c r="H112" s="101"/>
    </row>
    <row r="113" spans="1:8" ht="24.75" customHeight="1" x14ac:dyDescent="0.3">
      <c r="A113" s="77" t="s">
        <v>228</v>
      </c>
      <c r="B113" s="76"/>
      <c r="C113" s="107" t="s">
        <v>232</v>
      </c>
      <c r="D113" s="99">
        <v>46275</v>
      </c>
      <c r="E113" s="100"/>
      <c r="F113" s="138"/>
      <c r="G113" s="143"/>
      <c r="H113" s="101"/>
    </row>
    <row r="114" spans="1:8" ht="24.75" customHeight="1" x14ac:dyDescent="0.3">
      <c r="A114" s="74" t="s">
        <v>228</v>
      </c>
      <c r="B114" s="78"/>
      <c r="C114" s="108" t="s">
        <v>233</v>
      </c>
      <c r="D114" s="99">
        <v>46275</v>
      </c>
      <c r="E114" s="100"/>
      <c r="F114" s="138"/>
      <c r="G114" s="143"/>
      <c r="H114" s="101"/>
    </row>
    <row r="115" spans="1:8" ht="24.75" customHeight="1" x14ac:dyDescent="0.3">
      <c r="A115" s="77" t="s">
        <v>228</v>
      </c>
      <c r="B115" s="96" t="s">
        <v>234</v>
      </c>
      <c r="C115" s="105"/>
      <c r="D115" s="99">
        <v>46275</v>
      </c>
      <c r="E115" s="100"/>
      <c r="F115" s="138"/>
      <c r="G115" s="143"/>
      <c r="H115" s="101"/>
    </row>
    <row r="116" spans="1:8" ht="24.75" customHeight="1" x14ac:dyDescent="0.3">
      <c r="A116" s="86" t="s">
        <v>228</v>
      </c>
      <c r="B116" s="97" t="s">
        <v>235</v>
      </c>
      <c r="C116" s="105"/>
      <c r="D116" s="106">
        <v>46275</v>
      </c>
      <c r="E116" s="100"/>
      <c r="F116" s="138"/>
      <c r="G116" s="143"/>
      <c r="H116" s="101"/>
    </row>
    <row r="117" spans="1:8" ht="24.75" customHeight="1" x14ac:dyDescent="0.3">
      <c r="A117" s="88" t="s">
        <v>236</v>
      </c>
      <c r="B117" s="89"/>
      <c r="C117" s="109" t="s">
        <v>237</v>
      </c>
      <c r="D117" s="99">
        <v>46275</v>
      </c>
      <c r="E117" s="100"/>
      <c r="F117" s="138"/>
      <c r="G117" s="143"/>
      <c r="H117" s="101"/>
    </row>
    <row r="118" spans="1:8" ht="24.75" customHeight="1" x14ac:dyDescent="0.3">
      <c r="A118" s="74" t="s">
        <v>236</v>
      </c>
      <c r="B118" s="75" t="s">
        <v>238</v>
      </c>
      <c r="C118" s="105"/>
      <c r="D118" s="99">
        <v>46275</v>
      </c>
      <c r="E118" s="100"/>
      <c r="F118" s="138"/>
      <c r="G118" s="143"/>
      <c r="H118" s="101"/>
    </row>
    <row r="119" spans="1:8" ht="24.75" customHeight="1" x14ac:dyDescent="0.3">
      <c r="A119" s="77" t="s">
        <v>236</v>
      </c>
      <c r="B119" s="78"/>
      <c r="C119" s="108" t="s">
        <v>239</v>
      </c>
      <c r="D119" s="99">
        <v>46275</v>
      </c>
      <c r="E119" s="100"/>
      <c r="F119" s="138"/>
      <c r="G119" s="143"/>
      <c r="H119" s="101"/>
    </row>
    <row r="120" spans="1:8" ht="24.75" customHeight="1" x14ac:dyDescent="0.3">
      <c r="A120" s="74" t="s">
        <v>236</v>
      </c>
      <c r="B120" s="75" t="s">
        <v>240</v>
      </c>
      <c r="C120" s="105"/>
      <c r="D120" s="99">
        <v>46275</v>
      </c>
      <c r="E120" s="100"/>
      <c r="F120" s="138"/>
      <c r="G120" s="143"/>
      <c r="H120" s="101"/>
    </row>
    <row r="121" spans="1:8" ht="24.75" customHeight="1" x14ac:dyDescent="0.3">
      <c r="A121" s="77" t="s">
        <v>236</v>
      </c>
      <c r="B121" s="78"/>
      <c r="C121" s="108" t="s">
        <v>241</v>
      </c>
      <c r="D121" s="99">
        <v>46275</v>
      </c>
      <c r="E121" s="100"/>
      <c r="F121" s="138"/>
      <c r="G121" s="143"/>
      <c r="H121" s="101"/>
    </row>
    <row r="122" spans="1:8" ht="24.75" customHeight="1" x14ac:dyDescent="0.3">
      <c r="A122" s="74" t="s">
        <v>236</v>
      </c>
      <c r="B122" s="75" t="s">
        <v>224</v>
      </c>
      <c r="C122" s="105"/>
      <c r="D122" s="99">
        <v>46305</v>
      </c>
      <c r="E122" s="100"/>
      <c r="F122" s="138"/>
      <c r="G122" s="143"/>
      <c r="H122" s="101"/>
    </row>
    <row r="123" spans="1:8" ht="24.75" customHeight="1" x14ac:dyDescent="0.3">
      <c r="A123" s="80" t="s">
        <v>236</v>
      </c>
      <c r="B123" s="81"/>
      <c r="C123" s="107" t="s">
        <v>242</v>
      </c>
      <c r="D123" s="99">
        <v>46275</v>
      </c>
      <c r="E123" s="100"/>
      <c r="F123" s="138"/>
      <c r="G123" s="143"/>
      <c r="H123" s="101"/>
    </row>
    <row r="124" spans="1:8" ht="24.75" customHeight="1" x14ac:dyDescent="0.3">
      <c r="A124" s="83" t="s">
        <v>243</v>
      </c>
      <c r="B124" s="84" t="s">
        <v>244</v>
      </c>
      <c r="C124" s="94"/>
      <c r="D124" s="113">
        <v>46305</v>
      </c>
      <c r="E124" s="100"/>
      <c r="F124" s="138"/>
      <c r="G124" s="143"/>
      <c r="H124" s="101"/>
    </row>
    <row r="125" spans="1:8" ht="24.75" customHeight="1" x14ac:dyDescent="0.3">
      <c r="A125" s="77" t="s">
        <v>243</v>
      </c>
      <c r="B125" s="78"/>
      <c r="C125" s="79" t="s">
        <v>245</v>
      </c>
      <c r="D125" s="113">
        <v>46305</v>
      </c>
      <c r="E125" s="100"/>
      <c r="F125" s="138"/>
      <c r="G125" s="143"/>
      <c r="H125" s="101"/>
    </row>
    <row r="126" spans="1:8" ht="24.75" customHeight="1" x14ac:dyDescent="0.3">
      <c r="A126" s="74" t="s">
        <v>243</v>
      </c>
      <c r="B126" s="75" t="s">
        <v>246</v>
      </c>
      <c r="C126" s="93"/>
      <c r="D126" s="113">
        <v>46305</v>
      </c>
      <c r="E126" s="100"/>
      <c r="F126" s="138"/>
      <c r="G126" s="143"/>
      <c r="H126" s="101"/>
    </row>
    <row r="127" spans="1:8" ht="24.75" customHeight="1" x14ac:dyDescent="0.3">
      <c r="A127" s="77" t="s">
        <v>243</v>
      </c>
      <c r="B127" s="78"/>
      <c r="C127" s="79" t="s">
        <v>247</v>
      </c>
      <c r="D127" s="113">
        <v>46305</v>
      </c>
      <c r="E127" s="100"/>
      <c r="F127" s="138"/>
      <c r="G127" s="143"/>
      <c r="H127" s="101"/>
    </row>
    <row r="128" spans="1:8" ht="24.75" customHeight="1" x14ac:dyDescent="0.3">
      <c r="A128" s="74" t="s">
        <v>243</v>
      </c>
      <c r="B128" s="75" t="s">
        <v>248</v>
      </c>
      <c r="C128" s="93"/>
      <c r="D128" s="113">
        <v>46305</v>
      </c>
      <c r="E128" s="100"/>
      <c r="F128" s="138"/>
      <c r="G128" s="143"/>
      <c r="H128" s="101"/>
    </row>
    <row r="129" spans="1:8" ht="24.75" customHeight="1" x14ac:dyDescent="0.3">
      <c r="A129" s="80" t="s">
        <v>243</v>
      </c>
      <c r="B129" s="81"/>
      <c r="C129" s="59" t="s">
        <v>249</v>
      </c>
      <c r="D129" s="113">
        <v>46305</v>
      </c>
      <c r="E129" s="100"/>
      <c r="F129" s="138"/>
      <c r="G129" s="143"/>
      <c r="H129" s="101"/>
    </row>
    <row r="130" spans="1:8" ht="24.75" customHeight="1" x14ac:dyDescent="0.3">
      <c r="A130" s="63" t="s">
        <v>243</v>
      </c>
      <c r="B130" s="64" t="s">
        <v>250</v>
      </c>
      <c r="C130" s="95"/>
      <c r="D130" s="114">
        <v>46305</v>
      </c>
      <c r="E130" s="56"/>
      <c r="F130" s="138"/>
      <c r="G130" s="143"/>
      <c r="H130" s="101"/>
    </row>
    <row r="131" spans="1:8" ht="24.75" customHeight="1" x14ac:dyDescent="0.3">
      <c r="A131" s="111" t="s">
        <v>251</v>
      </c>
      <c r="B131" s="61"/>
      <c r="C131" s="59" t="s">
        <v>252</v>
      </c>
      <c r="D131" s="114">
        <v>46305</v>
      </c>
      <c r="E131" s="56"/>
      <c r="F131" s="138"/>
      <c r="G131" s="143"/>
      <c r="H131" s="101"/>
    </row>
    <row r="132" spans="1:8" ht="24.75" customHeight="1" x14ac:dyDescent="0.3">
      <c r="A132" s="74" t="s">
        <v>251</v>
      </c>
      <c r="B132" s="75" t="s">
        <v>253</v>
      </c>
      <c r="C132" s="93"/>
      <c r="D132" s="113">
        <v>46305</v>
      </c>
      <c r="E132" s="56"/>
      <c r="F132" s="138"/>
      <c r="G132" s="143"/>
      <c r="H132" s="101"/>
    </row>
    <row r="133" spans="1:8" ht="24.75" customHeight="1" x14ac:dyDescent="0.3">
      <c r="A133" s="77" t="s">
        <v>251</v>
      </c>
      <c r="B133" s="78"/>
      <c r="C133" s="79" t="s">
        <v>254</v>
      </c>
      <c r="D133" s="113">
        <v>46305</v>
      </c>
      <c r="E133" s="100"/>
      <c r="F133" s="138"/>
      <c r="G133" s="143"/>
      <c r="H133" s="101"/>
    </row>
    <row r="134" spans="1:8" ht="24.75" customHeight="1" x14ac:dyDescent="0.3">
      <c r="A134" s="74" t="s">
        <v>251</v>
      </c>
      <c r="B134" s="75" t="s">
        <v>255</v>
      </c>
      <c r="C134" s="93"/>
      <c r="D134" s="113">
        <v>46305</v>
      </c>
      <c r="E134" s="100"/>
      <c r="F134" s="138"/>
      <c r="G134" s="143"/>
      <c r="H134" s="101"/>
    </row>
    <row r="135" spans="1:8" ht="24.75" customHeight="1" x14ac:dyDescent="0.3">
      <c r="A135" s="77" t="s">
        <v>251</v>
      </c>
      <c r="B135" s="79" t="s">
        <v>256</v>
      </c>
      <c r="C135" s="76"/>
      <c r="D135" s="118" t="s">
        <v>257</v>
      </c>
      <c r="E135" s="100"/>
      <c r="F135" s="138"/>
      <c r="G135" s="143"/>
      <c r="H135" s="101"/>
    </row>
    <row r="136" spans="1:8" ht="24.75" customHeight="1" x14ac:dyDescent="0.3">
      <c r="A136" s="74" t="s">
        <v>251</v>
      </c>
      <c r="B136" s="75" t="s">
        <v>258</v>
      </c>
      <c r="C136" s="93"/>
      <c r="D136" s="113">
        <v>46305</v>
      </c>
      <c r="E136" s="100"/>
      <c r="F136" s="138"/>
      <c r="G136" s="143"/>
      <c r="H136" s="101"/>
    </row>
    <row r="137" spans="1:8" ht="24.75" customHeight="1" x14ac:dyDescent="0.3">
      <c r="A137" s="80" t="s">
        <v>251</v>
      </c>
      <c r="B137" s="81"/>
      <c r="C137" s="59" t="s">
        <v>259</v>
      </c>
      <c r="D137" s="113">
        <v>46305</v>
      </c>
      <c r="E137" s="147"/>
      <c r="F137" s="148"/>
      <c r="G137" s="143"/>
      <c r="H137" s="154"/>
    </row>
    <row r="138" spans="1:8" ht="24.75" customHeight="1" x14ac:dyDescent="0.3">
      <c r="A138" s="130" t="s">
        <v>260</v>
      </c>
      <c r="B138" s="123"/>
      <c r="C138" s="123"/>
      <c r="D138" s="146"/>
      <c r="E138" s="143"/>
      <c r="F138" s="133"/>
      <c r="G138" s="143"/>
      <c r="H138" s="133"/>
    </row>
    <row r="139" spans="1:8" ht="24.75" customHeight="1" x14ac:dyDescent="0.3">
      <c r="A139" s="129" t="s">
        <v>260</v>
      </c>
      <c r="B139" s="61"/>
      <c r="C139" s="61"/>
      <c r="D139" s="113"/>
      <c r="E139" s="143"/>
      <c r="F139" s="133"/>
      <c r="G139" s="143"/>
      <c r="H139" s="133"/>
    </row>
    <row r="140" spans="1:8" ht="24.75" customHeight="1" x14ac:dyDescent="0.3">
      <c r="A140" s="130" t="s">
        <v>261</v>
      </c>
      <c r="B140" s="123"/>
      <c r="C140" s="123"/>
      <c r="D140" s="146"/>
      <c r="E140" s="143"/>
      <c r="F140" s="133"/>
      <c r="G140" s="143"/>
      <c r="H140" s="133"/>
    </row>
    <row r="141" spans="1:8" ht="24.75" customHeight="1" x14ac:dyDescent="0.3">
      <c r="A141" s="129" t="s">
        <v>261</v>
      </c>
      <c r="B141" s="61"/>
      <c r="C141" s="61"/>
      <c r="D141" s="113"/>
      <c r="E141" s="144"/>
      <c r="F141" s="153"/>
      <c r="G141" s="144"/>
      <c r="H141" s="133"/>
    </row>
    <row r="142" spans="1:8" ht="24.75" customHeight="1" x14ac:dyDescent="0.3">
      <c r="A142" s="157" t="s">
        <v>262</v>
      </c>
      <c r="B142" s="157"/>
      <c r="C142" s="157"/>
      <c r="D142" s="157"/>
      <c r="E142" s="157"/>
      <c r="F142" s="157"/>
      <c r="G142" s="157"/>
      <c r="H142" s="157"/>
    </row>
    <row r="143" spans="1:8" ht="24.75" customHeight="1" x14ac:dyDescent="0.3">
      <c r="A143" s="77" t="s">
        <v>263</v>
      </c>
      <c r="B143" s="75" t="s">
        <v>264</v>
      </c>
      <c r="C143" s="93"/>
      <c r="D143" s="116">
        <v>46305</v>
      </c>
      <c r="E143" s="52"/>
      <c r="F143" s="137"/>
      <c r="G143" s="145"/>
      <c r="H143" s="103"/>
    </row>
    <row r="144" spans="1:8" ht="24.75" customHeight="1" x14ac:dyDescent="0.3">
      <c r="A144" s="74" t="s">
        <v>263</v>
      </c>
      <c r="B144" s="78"/>
      <c r="C144" s="79" t="s">
        <v>265</v>
      </c>
      <c r="D144" s="115">
        <v>46336</v>
      </c>
      <c r="E144" s="56"/>
      <c r="F144" s="138"/>
      <c r="G144" s="143"/>
      <c r="H144" s="101"/>
    </row>
    <row r="145" spans="1:8" ht="24.75" customHeight="1" x14ac:dyDescent="0.3">
      <c r="A145" s="77" t="s">
        <v>263</v>
      </c>
      <c r="B145" s="75" t="s">
        <v>266</v>
      </c>
      <c r="C145" s="93"/>
      <c r="D145" s="116">
        <v>46305</v>
      </c>
      <c r="E145" s="56"/>
      <c r="F145" s="138"/>
      <c r="G145" s="143"/>
      <c r="H145" s="101"/>
    </row>
    <row r="146" spans="1:8" ht="24.75" customHeight="1" x14ac:dyDescent="0.3">
      <c r="A146" s="74" t="s">
        <v>263</v>
      </c>
      <c r="B146" s="78"/>
      <c r="C146" s="79" t="s">
        <v>267</v>
      </c>
      <c r="D146" s="115">
        <v>46336</v>
      </c>
      <c r="E146" s="56"/>
      <c r="F146" s="138"/>
      <c r="G146" s="143"/>
      <c r="H146" s="101"/>
    </row>
    <row r="147" spans="1:8" ht="24.75" customHeight="1" x14ac:dyDescent="0.3">
      <c r="A147" s="77" t="s">
        <v>263</v>
      </c>
      <c r="B147" s="75" t="s">
        <v>268</v>
      </c>
      <c r="C147" s="93"/>
      <c r="D147" s="116">
        <v>46305</v>
      </c>
      <c r="E147" s="56"/>
      <c r="F147" s="138"/>
      <c r="G147" s="143"/>
      <c r="H147" s="101"/>
    </row>
    <row r="148" spans="1:8" ht="24.75" customHeight="1" x14ac:dyDescent="0.3">
      <c r="A148" s="74" t="s">
        <v>263</v>
      </c>
      <c r="B148" s="78"/>
      <c r="C148" s="79" t="s">
        <v>269</v>
      </c>
      <c r="D148" s="115">
        <v>46336</v>
      </c>
      <c r="E148" s="56"/>
      <c r="F148" s="138"/>
      <c r="G148" s="143"/>
      <c r="H148" s="101"/>
    </row>
    <row r="149" spans="1:8" ht="24.75" customHeight="1" x14ac:dyDescent="0.3">
      <c r="A149" s="98" t="s">
        <v>263</v>
      </c>
      <c r="B149" s="112" t="s">
        <v>270</v>
      </c>
      <c r="C149" s="95"/>
      <c r="D149" s="117">
        <v>46305</v>
      </c>
      <c r="E149" s="56"/>
      <c r="F149" s="138"/>
      <c r="G149" s="143"/>
      <c r="H149" s="101"/>
    </row>
  </sheetData>
  <mergeCells count="6">
    <mergeCell ref="B2:C2"/>
    <mergeCell ref="A39:H39"/>
    <mergeCell ref="A83:H83"/>
    <mergeCell ref="A95:H95"/>
    <mergeCell ref="A142:H142"/>
    <mergeCell ref="A3:H3"/>
  </mergeCells>
  <conditionalFormatting sqref="E1:E2 F2 E4:E38 E40:E82 E84:E94 E96:E141 E143:E1048576">
    <cfRule type="containsText" dxfId="3" priority="7" operator="containsText" text="Si">
      <formula>NOT(ISERROR(SEARCH("Si",E1)))</formula>
    </cfRule>
  </conditionalFormatting>
  <conditionalFormatting sqref="F1 F4:F38 F40:F82 F84:F94 F96:F141 F143:F1048576">
    <cfRule type="containsText" dxfId="2" priority="6" operator="containsText" text="Aprobado">
      <formula>NOT(ISERROR(SEARCH("Aprobado",F1)))</formula>
    </cfRule>
  </conditionalFormatting>
  <conditionalFormatting sqref="G1:G2 G4:G38 G40:G82 G84:G94 G96:G141 G143:G1048576">
    <cfRule type="containsText" dxfId="1" priority="2" operator="containsText" text="Si">
      <formula>NOT(ISERROR(SEARCH("Si",G1)))</formula>
    </cfRule>
  </conditionalFormatting>
  <conditionalFormatting sqref="H2">
    <cfRule type="containsText" dxfId="0" priority="3" operator="containsText" text="Si">
      <formula>NOT(ISERROR(SEARCH("Si",H2)))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Panel</vt:lpstr>
      <vt:lpstr>Parámetros</vt:lpstr>
      <vt:lpstr>Bitácora diaria</vt:lpstr>
      <vt:lpstr>Lotes</vt:lpstr>
      <vt:lpstr>Calendario</vt:lpstr>
      <vt:lpstr>Curva de avance</vt:lpstr>
      <vt:lpstr>Control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MANUEL RAMIREZ ARAQUE</cp:lastModifiedBy>
  <cp:revision>1</cp:revision>
  <dcterms:created xsi:type="dcterms:W3CDTF">2026-09-16T18:08:05Z</dcterms:created>
  <dcterms:modified xsi:type="dcterms:W3CDTF">2026-10-16T20:50:28Z</dcterms:modified>
  <cp:category/>
  <cp:contentStatus/>
</cp:coreProperties>
</file>